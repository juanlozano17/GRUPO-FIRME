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mestre 1" sheetId="1" r:id="rId4"/>
    <sheet state="visible" name="Trimestre 2" sheetId="2" r:id="rId5"/>
  </sheets>
  <definedNames/>
  <calcPr/>
  <extLst>
    <ext uri="GoogleSheetsCustomDataVersion2">
      <go:sheetsCustomData xmlns:go="http://customooxmlschemas.google.com/" r:id="rId6" roundtripDataChecksum="o58ebRm8na33XWoXi1EBZsyCCC0JoLcRTLJKnqDNOk8="/>
    </ext>
  </extLst>
</workbook>
</file>

<file path=xl/sharedStrings.xml><?xml version="1.0" encoding="utf-8"?>
<sst xmlns="http://schemas.openxmlformats.org/spreadsheetml/2006/main" count="74" uniqueCount="28">
  <si>
    <t xml:space="preserve">ARCHIVO </t>
  </si>
  <si>
    <t>INICIO DEL PROYECTO</t>
  </si>
  <si>
    <t>Link de archivo</t>
  </si>
  <si>
    <t>TAREA</t>
  </si>
  <si>
    <t>RESPONSABLE</t>
  </si>
  <si>
    <t>PROGRESO</t>
  </si>
  <si>
    <t>INICIO</t>
  </si>
  <si>
    <t xml:space="preserve">FIN </t>
  </si>
  <si>
    <t>TRIMESTRE 1</t>
  </si>
  <si>
    <t xml:space="preserve">1.Planteamiento del problema </t>
  </si>
  <si>
    <t>Kamell Noguera</t>
  </si>
  <si>
    <t>2. General Objetivo</t>
  </si>
  <si>
    <t>Juan Lozano</t>
  </si>
  <si>
    <t xml:space="preserve">2.1 Especifico Objetivo </t>
  </si>
  <si>
    <t>Mariana Gonzalez</t>
  </si>
  <si>
    <t>3. Justificacion del Proyecto</t>
  </si>
  <si>
    <t>Santiago Cardenas</t>
  </si>
  <si>
    <t xml:space="preserve">4. Antecedentes </t>
  </si>
  <si>
    <t>6. Recoleccion de Informacion</t>
  </si>
  <si>
    <t>6.1 Encuesta y Analisis</t>
  </si>
  <si>
    <t>7. Requerimientos  F/NF</t>
  </si>
  <si>
    <t>8. Mockups</t>
  </si>
  <si>
    <t>9. Presentacion I Trimestre</t>
  </si>
  <si>
    <t>Mapas I Trimestre</t>
  </si>
  <si>
    <t>1.1Formato IEEE830</t>
  </si>
  <si>
    <t>1.2Diagrama BPMN</t>
  </si>
  <si>
    <t>1.3Diagrama de casos de uso</t>
  </si>
  <si>
    <t>1.4Mapa de Procesos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</si>
</sst>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d/mm/yyyy"/>
    <numFmt numFmtId="165" formatCode="ddd\,\ dd/mm/yyyy"/>
    <numFmt numFmtId="166" formatCode="ddd\,dd/mm/yyyy"/>
    <numFmt numFmtId="167" formatCode="dd"/>
    <numFmt numFmtId="168" formatCode="D/M/YYYY"/>
  </numFmts>
  <fonts count="9">
    <font>
      <sz val="11.0"/>
      <color theme="1"/>
      <name val="Aptos Narrow"/>
      <scheme val="minor"/>
    </font>
    <font>
      <sz val="11.0"/>
      <color theme="1"/>
      <name val="Aptos Narrow"/>
    </font>
    <font>
      <b/>
      <sz val="11.0"/>
      <color theme="1"/>
      <name val="Aptos Narrow"/>
    </font>
    <font/>
    <font>
      <sz val="11.0"/>
      <color theme="0"/>
      <name val="Aptos Narrow"/>
    </font>
    <font>
      <sz val="9.0"/>
      <color theme="1"/>
      <name val="Aptos Narrow"/>
    </font>
    <font>
      <b/>
      <sz val="9.0"/>
      <color theme="1"/>
      <name val="Aptos Narrow"/>
    </font>
    <font>
      <sz val="11.0"/>
      <color theme="1"/>
      <name val="Arial"/>
    </font>
    <font>
      <u/>
      <sz val="11.0"/>
      <color theme="10"/>
      <name val="Aptos Narrow"/>
    </font>
  </fonts>
  <fills count="7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A6C9EB"/>
        <bgColor rgb="FFA6C9EB"/>
      </patternFill>
    </fill>
    <fill>
      <patternFill patternType="solid">
        <fgColor rgb="FF83CAEB"/>
        <bgColor rgb="FF83CAEB"/>
      </patternFill>
    </fill>
    <fill>
      <patternFill patternType="solid">
        <fgColor rgb="FFDBE9F7"/>
        <bgColor rgb="FFDBE9F7"/>
      </patternFill>
    </fill>
    <fill>
      <patternFill patternType="solid">
        <fgColor rgb="FFD9F2D0"/>
        <bgColor rgb="FFD9F2D0"/>
      </patternFill>
    </fill>
  </fills>
  <borders count="17">
    <border/>
    <border>
      <left/>
      <right/>
      <top/>
      <bottom/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/>
      <top style="thin">
        <color rgb="FF000000"/>
      </top>
      <bottom/>
    </border>
    <border>
      <right/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top style="thin">
        <color theme="1"/>
      </top>
      <bottom style="thin">
        <color theme="1"/>
      </bottom>
    </border>
    <border>
      <top style="thin">
        <color theme="1"/>
      </top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1" numFmtId="164" xfId="0" applyAlignment="1" applyFont="1" applyNumberFormat="1">
      <alignment horizontal="center" vertical="center"/>
    </xf>
    <xf borderId="1" fillId="2" fontId="1" numFmtId="0" xfId="0" applyBorder="1" applyFill="1" applyFont="1"/>
    <xf borderId="2" fillId="3" fontId="2" numFmtId="165" xfId="0" applyAlignment="1" applyBorder="1" applyFill="1" applyFont="1" applyNumberFormat="1">
      <alignment horizontal="left" vertical="center"/>
    </xf>
    <xf borderId="3" fillId="0" fontId="3" numFmtId="0" xfId="0" applyBorder="1" applyFont="1"/>
    <xf borderId="4" fillId="0" fontId="3" numFmtId="0" xfId="0" applyBorder="1" applyFont="1"/>
    <xf borderId="5" fillId="3" fontId="2" numFmtId="165" xfId="0" applyAlignment="1" applyBorder="1" applyFont="1" applyNumberFormat="1">
      <alignment horizontal="left" vertical="center"/>
    </xf>
    <xf borderId="6" fillId="0" fontId="3" numFmtId="0" xfId="0" applyBorder="1" applyFont="1"/>
    <xf borderId="7" fillId="3" fontId="1" numFmtId="0" xfId="0" applyBorder="1" applyFont="1"/>
    <xf borderId="8" fillId="4" fontId="4" numFmtId="0" xfId="0" applyBorder="1" applyFill="1" applyFont="1"/>
    <xf borderId="8" fillId="4" fontId="4" numFmtId="0" xfId="0" applyAlignment="1" applyBorder="1" applyFont="1">
      <alignment horizontal="right"/>
    </xf>
    <xf borderId="9" fillId="5" fontId="1" numFmtId="166" xfId="0" applyAlignment="1" applyBorder="1" applyFill="1" applyFont="1" applyNumberFormat="1">
      <alignment horizontal="center"/>
    </xf>
    <xf borderId="10" fillId="0" fontId="3" numFmtId="0" xfId="0" applyBorder="1" applyFont="1"/>
    <xf borderId="1" fillId="2" fontId="5" numFmtId="0" xfId="0" applyBorder="1" applyFont="1"/>
    <xf borderId="11" fillId="3" fontId="6" numFmtId="167" xfId="0" applyAlignment="1" applyBorder="1" applyFont="1" applyNumberFormat="1">
      <alignment horizontal="center" vertical="center"/>
    </xf>
    <xf borderId="1" fillId="3" fontId="6" numFmtId="167" xfId="0" applyAlignment="1" applyBorder="1" applyFont="1" applyNumberFormat="1">
      <alignment horizontal="center" vertical="center"/>
    </xf>
    <xf borderId="12" fillId="3" fontId="6" numFmtId="167" xfId="0" applyAlignment="1" applyBorder="1" applyFont="1" applyNumberFormat="1">
      <alignment horizontal="center" vertical="center"/>
    </xf>
    <xf borderId="13" fillId="3" fontId="1" numFmtId="0" xfId="0" applyBorder="1" applyFont="1"/>
    <xf borderId="1" fillId="6" fontId="2" numFmtId="0" xfId="0" applyAlignment="1" applyBorder="1" applyFill="1" applyFont="1">
      <alignment horizontal="center"/>
    </xf>
    <xf borderId="1" fillId="6" fontId="1" numFmtId="0" xfId="0" applyBorder="1" applyFont="1"/>
    <xf borderId="1" fillId="6" fontId="6" numFmtId="0" xfId="0" applyAlignment="1" applyBorder="1" applyFont="1">
      <alignment horizontal="center" vertical="center"/>
    </xf>
    <xf borderId="14" fillId="6" fontId="1" numFmtId="0" xfId="0" applyBorder="1" applyFont="1"/>
    <xf borderId="15" fillId="0" fontId="2" numFmtId="0" xfId="0" applyBorder="1" applyFont="1"/>
    <xf borderId="15" fillId="0" fontId="1" numFmtId="0" xfId="0" applyBorder="1" applyFont="1"/>
    <xf borderId="15" fillId="0" fontId="1" numFmtId="9" xfId="0" applyAlignment="1" applyBorder="1" applyFont="1" applyNumberFormat="1">
      <alignment horizontal="center"/>
    </xf>
    <xf borderId="15" fillId="0" fontId="1" numFmtId="164" xfId="0" applyAlignment="1" applyBorder="1" applyFont="1" applyNumberFormat="1">
      <alignment horizontal="center"/>
    </xf>
    <xf borderId="8" fillId="0" fontId="1" numFmtId="0" xfId="0" applyBorder="1" applyFont="1"/>
    <xf borderId="15" fillId="0" fontId="7" numFmtId="9" xfId="0" applyAlignment="1" applyBorder="1" applyFont="1" applyNumberFormat="1">
      <alignment horizontal="center" readingOrder="0"/>
    </xf>
    <xf borderId="8" fillId="0" fontId="8" numFmtId="0" xfId="0" applyBorder="1" applyFont="1"/>
    <xf borderId="16" fillId="0" fontId="1" numFmtId="0" xfId="0" applyBorder="1" applyFont="1"/>
    <xf borderId="16" fillId="0" fontId="1" numFmtId="9" xfId="0" applyAlignment="1" applyBorder="1" applyFont="1" applyNumberFormat="1">
      <alignment horizontal="center"/>
    </xf>
    <xf borderId="16" fillId="0" fontId="1" numFmtId="164" xfId="0" applyAlignment="1" applyBorder="1" applyFont="1" applyNumberFormat="1">
      <alignment horizontal="center"/>
    </xf>
    <xf borderId="0" fillId="0" fontId="2" numFmtId="0" xfId="0" applyFont="1"/>
    <xf borderId="0" fillId="0" fontId="1" numFmtId="168" xfId="0" applyAlignment="1" applyFont="1" applyNumberFormat="1">
      <alignment horizontal="center"/>
    </xf>
    <xf borderId="0" fillId="0" fontId="1" numFmtId="0" xfId="0" applyAlignment="1" applyFont="1">
      <alignment horizontal="center"/>
    </xf>
    <xf borderId="0" fillId="0" fontId="1" numFmtId="168" xfId="0" applyFont="1" applyNumberFormat="1"/>
  </cellXfs>
  <cellStyles count="1">
    <cellStyle xfId="0" name="Normal" builtinId="0"/>
  </cellStyles>
  <dxfs count="2">
    <dxf>
      <font/>
      <fill>
        <patternFill patternType="solid">
          <fgColor rgb="FF8ED873"/>
          <bgColor rgb="FF8ED873"/>
        </patternFill>
      </fill>
      <border/>
    </dxf>
    <dxf>
      <font/>
      <fill>
        <patternFill patternType="solid">
          <fgColor rgb="FFD9F2D0"/>
          <bgColor rgb="FFD9F2D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15E99"/>
    <pageSetUpPr/>
  </sheetPr>
  <sheetViews>
    <sheetView workbookViewId="0"/>
  </sheetViews>
  <sheetFormatPr customHeight="1" defaultColWidth="12.63" defaultRowHeight="15.0"/>
  <cols>
    <col customWidth="1" min="1" max="2" width="15.75"/>
    <col customWidth="1" min="3" max="5" width="11.75"/>
    <col customWidth="1" min="6" max="39" width="3.75"/>
    <col customWidth="1" min="40" max="40" width="13.75"/>
  </cols>
  <sheetData>
    <row r="1" ht="14.25" customHeight="1"/>
    <row r="2" ht="14.25" customHeight="1"/>
    <row r="3" ht="14.25" customHeight="1"/>
    <row r="4" ht="19.5" customHeight="1">
      <c r="D4" s="1">
        <v>0.0</v>
      </c>
      <c r="E4" s="2">
        <f>D5+D4</f>
        <v>45930</v>
      </c>
      <c r="F4" s="3"/>
      <c r="G4" s="4">
        <f>G5</f>
        <v>45930</v>
      </c>
      <c r="H4" s="5"/>
      <c r="I4" s="5"/>
      <c r="J4" s="5"/>
      <c r="K4" s="6"/>
      <c r="L4" s="4">
        <f>L5</f>
        <v>45935</v>
      </c>
      <c r="M4" s="5"/>
      <c r="N4" s="5"/>
      <c r="O4" s="5"/>
      <c r="P4" s="5"/>
      <c r="Q4" s="5"/>
      <c r="R4" s="6"/>
      <c r="S4" s="4">
        <f>S5</f>
        <v>45942</v>
      </c>
      <c r="T4" s="5"/>
      <c r="U4" s="5"/>
      <c r="V4" s="5"/>
      <c r="W4" s="5"/>
      <c r="X4" s="5"/>
      <c r="Y4" s="6"/>
      <c r="Z4" s="4">
        <f>Z5</f>
        <v>45949</v>
      </c>
      <c r="AA4" s="5"/>
      <c r="AB4" s="5"/>
      <c r="AC4" s="5"/>
      <c r="AD4" s="5"/>
      <c r="AE4" s="5"/>
      <c r="AF4" s="6"/>
      <c r="AG4" s="7">
        <f>AG5</f>
        <v>45956</v>
      </c>
      <c r="AH4" s="5"/>
      <c r="AI4" s="5"/>
      <c r="AJ4" s="5"/>
      <c r="AK4" s="5"/>
      <c r="AL4" s="5"/>
      <c r="AM4" s="8"/>
      <c r="AN4" s="9" t="s">
        <v>0</v>
      </c>
    </row>
    <row r="5" ht="14.25" customHeight="1">
      <c r="B5" s="10"/>
      <c r="C5" s="11" t="s">
        <v>1</v>
      </c>
      <c r="D5" s="12">
        <f>DATE(2025,10,1)+$D$4-1</f>
        <v>45930</v>
      </c>
      <c r="E5" s="13"/>
      <c r="F5" s="14"/>
      <c r="G5" s="15">
        <f>D5</f>
        <v>45930</v>
      </c>
      <c r="H5" s="16">
        <f t="shared" ref="H5:AM5" si="1">G5+1</f>
        <v>45931</v>
      </c>
      <c r="I5" s="16">
        <f t="shared" si="1"/>
        <v>45932</v>
      </c>
      <c r="J5" s="16">
        <f t="shared" si="1"/>
        <v>45933</v>
      </c>
      <c r="K5" s="17">
        <f t="shared" si="1"/>
        <v>45934</v>
      </c>
      <c r="L5" s="15">
        <f t="shared" si="1"/>
        <v>45935</v>
      </c>
      <c r="M5" s="16">
        <f t="shared" si="1"/>
        <v>45936</v>
      </c>
      <c r="N5" s="16">
        <f t="shared" si="1"/>
        <v>45937</v>
      </c>
      <c r="O5" s="16">
        <f t="shared" si="1"/>
        <v>45938</v>
      </c>
      <c r="P5" s="16">
        <f t="shared" si="1"/>
        <v>45939</v>
      </c>
      <c r="Q5" s="16">
        <f t="shared" si="1"/>
        <v>45940</v>
      </c>
      <c r="R5" s="17">
        <f t="shared" si="1"/>
        <v>45941</v>
      </c>
      <c r="S5" s="15">
        <f t="shared" si="1"/>
        <v>45942</v>
      </c>
      <c r="T5" s="16">
        <f t="shared" si="1"/>
        <v>45943</v>
      </c>
      <c r="U5" s="16">
        <f t="shared" si="1"/>
        <v>45944</v>
      </c>
      <c r="V5" s="16">
        <f t="shared" si="1"/>
        <v>45945</v>
      </c>
      <c r="W5" s="16">
        <f t="shared" si="1"/>
        <v>45946</v>
      </c>
      <c r="X5" s="16">
        <f t="shared" si="1"/>
        <v>45947</v>
      </c>
      <c r="Y5" s="17">
        <f t="shared" si="1"/>
        <v>45948</v>
      </c>
      <c r="Z5" s="15">
        <f t="shared" si="1"/>
        <v>45949</v>
      </c>
      <c r="AA5" s="16">
        <f t="shared" si="1"/>
        <v>45950</v>
      </c>
      <c r="AB5" s="16">
        <f t="shared" si="1"/>
        <v>45951</v>
      </c>
      <c r="AC5" s="16">
        <f t="shared" si="1"/>
        <v>45952</v>
      </c>
      <c r="AD5" s="16">
        <f t="shared" si="1"/>
        <v>45953</v>
      </c>
      <c r="AE5" s="16">
        <f t="shared" si="1"/>
        <v>45954</v>
      </c>
      <c r="AF5" s="17">
        <f t="shared" si="1"/>
        <v>45955</v>
      </c>
      <c r="AG5" s="16">
        <f t="shared" si="1"/>
        <v>45956</v>
      </c>
      <c r="AH5" s="16">
        <f t="shared" si="1"/>
        <v>45957</v>
      </c>
      <c r="AI5" s="16">
        <f t="shared" si="1"/>
        <v>45958</v>
      </c>
      <c r="AJ5" s="16">
        <f t="shared" si="1"/>
        <v>45959</v>
      </c>
      <c r="AK5" s="16">
        <f t="shared" si="1"/>
        <v>45960</v>
      </c>
      <c r="AL5" s="16">
        <f t="shared" si="1"/>
        <v>45961</v>
      </c>
      <c r="AM5" s="16">
        <f t="shared" si="1"/>
        <v>45962</v>
      </c>
      <c r="AN5" s="18" t="s">
        <v>2</v>
      </c>
    </row>
    <row r="6" ht="19.5" customHeight="1">
      <c r="A6" s="19" t="s">
        <v>3</v>
      </c>
      <c r="B6" s="19" t="s">
        <v>4</v>
      </c>
      <c r="C6" s="19" t="s">
        <v>5</v>
      </c>
      <c r="D6" s="19" t="s">
        <v>6</v>
      </c>
      <c r="E6" s="19" t="s">
        <v>7</v>
      </c>
      <c r="F6" s="20"/>
      <c r="G6" s="21" t="str">
        <f t="shared" ref="G6:AM6" si="2">UPPER(LEFT(TEXT(G5,"ddd"),1))</f>
        <v>M</v>
      </c>
      <c r="H6" s="21" t="str">
        <f t="shared" si="2"/>
        <v>M</v>
      </c>
      <c r="I6" s="21" t="str">
        <f t="shared" si="2"/>
        <v>J</v>
      </c>
      <c r="J6" s="21" t="str">
        <f t="shared" si="2"/>
        <v>V</v>
      </c>
      <c r="K6" s="21" t="str">
        <f t="shared" si="2"/>
        <v>S</v>
      </c>
      <c r="L6" s="21" t="str">
        <f t="shared" si="2"/>
        <v>D</v>
      </c>
      <c r="M6" s="21" t="str">
        <f t="shared" si="2"/>
        <v>L</v>
      </c>
      <c r="N6" s="21" t="str">
        <f t="shared" si="2"/>
        <v>M</v>
      </c>
      <c r="O6" s="21" t="str">
        <f t="shared" si="2"/>
        <v>M</v>
      </c>
      <c r="P6" s="21" t="str">
        <f t="shared" si="2"/>
        <v>J</v>
      </c>
      <c r="Q6" s="21" t="str">
        <f t="shared" si="2"/>
        <v>V</v>
      </c>
      <c r="R6" s="21" t="str">
        <f t="shared" si="2"/>
        <v>S</v>
      </c>
      <c r="S6" s="21" t="str">
        <f t="shared" si="2"/>
        <v>D</v>
      </c>
      <c r="T6" s="21" t="str">
        <f t="shared" si="2"/>
        <v>L</v>
      </c>
      <c r="U6" s="21" t="str">
        <f t="shared" si="2"/>
        <v>M</v>
      </c>
      <c r="V6" s="21" t="str">
        <f t="shared" si="2"/>
        <v>M</v>
      </c>
      <c r="W6" s="21" t="str">
        <f t="shared" si="2"/>
        <v>J</v>
      </c>
      <c r="X6" s="21" t="str">
        <f t="shared" si="2"/>
        <v>V</v>
      </c>
      <c r="Y6" s="21" t="str">
        <f t="shared" si="2"/>
        <v>S</v>
      </c>
      <c r="Z6" s="21" t="str">
        <f t="shared" si="2"/>
        <v>D</v>
      </c>
      <c r="AA6" s="21" t="str">
        <f t="shared" si="2"/>
        <v>L</v>
      </c>
      <c r="AB6" s="21" t="str">
        <f t="shared" si="2"/>
        <v>M</v>
      </c>
      <c r="AC6" s="21" t="str">
        <f t="shared" si="2"/>
        <v>M</v>
      </c>
      <c r="AD6" s="21" t="str">
        <f t="shared" si="2"/>
        <v>J</v>
      </c>
      <c r="AE6" s="21" t="str">
        <f t="shared" si="2"/>
        <v>V</v>
      </c>
      <c r="AF6" s="21" t="str">
        <f t="shared" si="2"/>
        <v>S</v>
      </c>
      <c r="AG6" s="21" t="str">
        <f t="shared" si="2"/>
        <v>D</v>
      </c>
      <c r="AH6" s="21" t="str">
        <f t="shared" si="2"/>
        <v>L</v>
      </c>
      <c r="AI6" s="21" t="str">
        <f t="shared" si="2"/>
        <v>M</v>
      </c>
      <c r="AJ6" s="21" t="str">
        <f t="shared" si="2"/>
        <v>M</v>
      </c>
      <c r="AK6" s="21" t="str">
        <f t="shared" si="2"/>
        <v>J</v>
      </c>
      <c r="AL6" s="21" t="str">
        <f t="shared" si="2"/>
        <v>V</v>
      </c>
      <c r="AM6" s="21" t="str">
        <f t="shared" si="2"/>
        <v>S</v>
      </c>
      <c r="AN6" s="22"/>
    </row>
    <row r="7" ht="14.25" customHeight="1">
      <c r="A7" s="23" t="s">
        <v>8</v>
      </c>
      <c r="B7" s="24"/>
      <c r="C7" s="25"/>
      <c r="D7" s="26"/>
      <c r="E7" s="26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7"/>
    </row>
    <row r="8" ht="14.25" customHeight="1">
      <c r="A8" s="24" t="s">
        <v>9</v>
      </c>
      <c r="B8" s="24" t="s">
        <v>10</v>
      </c>
      <c r="C8" s="28">
        <v>1.0</v>
      </c>
      <c r="D8" s="26">
        <v>45930.0</v>
      </c>
      <c r="E8" s="26">
        <v>45943.0</v>
      </c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9" t="str">
        <f>HYPERLINK("https://docs.google.com/document/d/1SfObwPSfjVAwlpyIXOPeG8gmHfwh27uKPV4VENBtBxM/edit?usp=sharing", "Abrir")</f>
        <v>Abrir</v>
      </c>
    </row>
    <row r="9" ht="14.25" customHeight="1">
      <c r="A9" s="24" t="s">
        <v>11</v>
      </c>
      <c r="B9" s="24" t="s">
        <v>12</v>
      </c>
      <c r="C9" s="25">
        <v>1.0</v>
      </c>
      <c r="D9" s="26">
        <v>45930.0</v>
      </c>
      <c r="E9" s="26">
        <v>45942.0</v>
      </c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9" t="str">
        <f t="shared" ref="AN9:AN10" si="3">HYPERLINK("https://docs.google.com/document/d/1trIHa_v8WPWOT3NTyg-kcsC2C-ug-amAs7e9WZ1nZaY/edit?usp=drive_link","Abrir")</f>
        <v>Abrir</v>
      </c>
    </row>
    <row r="10" ht="14.25" customHeight="1">
      <c r="A10" s="24" t="s">
        <v>13</v>
      </c>
      <c r="B10" s="24" t="s">
        <v>14</v>
      </c>
      <c r="C10" s="25">
        <v>1.0</v>
      </c>
      <c r="D10" s="26">
        <v>45930.0</v>
      </c>
      <c r="E10" s="26">
        <v>45942.0</v>
      </c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9" t="str">
        <f t="shared" si="3"/>
        <v>Abrir</v>
      </c>
    </row>
    <row r="11" ht="14.25" customHeight="1">
      <c r="A11" s="24" t="s">
        <v>15</v>
      </c>
      <c r="B11" s="24" t="s">
        <v>16</v>
      </c>
      <c r="C11" s="25">
        <v>1.0</v>
      </c>
      <c r="D11" s="26">
        <v>45930.0</v>
      </c>
      <c r="E11" s="26">
        <v>45943.0</v>
      </c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9" t="str">
        <f t="shared" ref="AN11:AN12" si="4">HYPERLINK("https://docs.google.com/document/d/1SfObwPSfjVAwlpyIXOPeG8gmHfwh27uKPV4VENBtBxM/edit?usp=drive_link","Abrir")</f>
        <v>Abrir</v>
      </c>
    </row>
    <row r="12" ht="14.25" customHeight="1">
      <c r="A12" s="24" t="s">
        <v>17</v>
      </c>
      <c r="B12" s="24" t="s">
        <v>12</v>
      </c>
      <c r="C12" s="25">
        <v>1.0</v>
      </c>
      <c r="D12" s="26">
        <v>45930.0</v>
      </c>
      <c r="E12" s="26">
        <v>45947.0</v>
      </c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9" t="str">
        <f t="shared" si="4"/>
        <v>Abrir</v>
      </c>
    </row>
    <row r="13" ht="14.25" customHeight="1">
      <c r="A13" s="24" t="s">
        <v>18</v>
      </c>
      <c r="B13" s="24" t="s">
        <v>14</v>
      </c>
      <c r="C13" s="25">
        <v>1.0</v>
      </c>
      <c r="D13" s="26">
        <v>45930.0</v>
      </c>
      <c r="E13" s="26">
        <v>45935.0</v>
      </c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7"/>
    </row>
    <row r="14" ht="14.25" customHeight="1">
      <c r="A14" s="24" t="s">
        <v>19</v>
      </c>
      <c r="B14" s="24" t="s">
        <v>14</v>
      </c>
      <c r="C14" s="25">
        <v>1.0</v>
      </c>
      <c r="D14" s="26">
        <v>45930.0</v>
      </c>
      <c r="E14" s="26">
        <v>45947.0</v>
      </c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7"/>
    </row>
    <row r="15" ht="14.25" customHeight="1">
      <c r="A15" s="24" t="s">
        <v>20</v>
      </c>
      <c r="B15" s="24" t="s">
        <v>10</v>
      </c>
      <c r="C15" s="25">
        <v>1.0</v>
      </c>
      <c r="D15" s="26">
        <v>45930.0</v>
      </c>
      <c r="E15" s="26">
        <v>45946.0</v>
      </c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9" t="str">
        <f>HYPERLINK("https://docs.google.com/document/d/1l_aqKtCJPsdabZFM-x0XuH-Zho9497SBj7Mbm_PzuVo/edit?usp=drive_link","Abrir")</f>
        <v>Abrir</v>
      </c>
    </row>
    <row r="16" ht="14.25" customHeight="1">
      <c r="A16" s="24" t="s">
        <v>21</v>
      </c>
      <c r="B16" s="24" t="s">
        <v>12</v>
      </c>
      <c r="C16" s="25">
        <v>1.0</v>
      </c>
      <c r="D16" s="26">
        <v>45930.0</v>
      </c>
      <c r="E16" s="26">
        <v>45945.0</v>
      </c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9" t="str">
        <f>HYPERLINK("https://docs.google.com/document/d/1tRtGj1mpXryeV61zUHXNDtCtZWrO7D2xm16uy9CMZ-4/edit?usp=drive_link","Abrir")</f>
        <v>Abrir</v>
      </c>
    </row>
    <row r="17" ht="14.25" customHeight="1">
      <c r="A17" s="24" t="s">
        <v>22</v>
      </c>
      <c r="B17" s="24" t="s">
        <v>14</v>
      </c>
      <c r="C17" s="25">
        <v>1.0</v>
      </c>
      <c r="D17" s="26">
        <v>45930.0</v>
      </c>
      <c r="E17" s="26">
        <v>45947.0</v>
      </c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9" t="str">
        <f>HYPERLINK("https://docs.google.com/presentation/d/1fJAplKSJ7NqUyvCXxRwpEFxBiNjIPOKG/edit?usp=drive_link&amp;ouid=111566450765270646432&amp;rtpof=true&amp;sd=true","Abrir")</f>
        <v>Abrir</v>
      </c>
    </row>
    <row r="18" ht="14.25" customHeight="1">
      <c r="A18" s="23" t="s">
        <v>23</v>
      </c>
      <c r="B18" s="24"/>
      <c r="C18" s="25"/>
      <c r="D18" s="26"/>
      <c r="E18" s="26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7"/>
    </row>
    <row r="19" ht="14.25" customHeight="1">
      <c r="A19" s="24" t="s">
        <v>24</v>
      </c>
      <c r="B19" s="24" t="s">
        <v>10</v>
      </c>
      <c r="C19" s="25">
        <v>1.0</v>
      </c>
      <c r="D19" s="26">
        <v>45930.0</v>
      </c>
      <c r="E19" s="26">
        <v>45947.0</v>
      </c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9" t="str">
        <f>HYPERLINK("https://docs.google.com/document/d/1bJYhatuAPab0Ewmku8t6_SVMUR_JHSAt/edit?usp=drive_link&amp;ouid=111566450765270646432&amp;rtpof=true&amp;sd=true","Abrir")</f>
        <v>Abrir</v>
      </c>
    </row>
    <row r="20" ht="14.25" customHeight="1">
      <c r="A20" s="24" t="s">
        <v>25</v>
      </c>
      <c r="B20" s="24" t="s">
        <v>16</v>
      </c>
      <c r="C20" s="25">
        <v>1.0</v>
      </c>
      <c r="D20" s="26">
        <v>45930.0</v>
      </c>
      <c r="E20" s="26">
        <v>45939.0</v>
      </c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9" t="str">
        <f>HYPERLINK("https://drive.google.com/file/d/1MTn7lr__xPnT93TTZHy8_TIP_59zffzJ/view?usp=drive_link","Abrir")</f>
        <v>Abrir</v>
      </c>
    </row>
    <row r="21" ht="14.25" customHeight="1">
      <c r="A21" s="24" t="s">
        <v>26</v>
      </c>
      <c r="B21" s="24" t="s">
        <v>12</v>
      </c>
      <c r="C21" s="25">
        <v>1.0</v>
      </c>
      <c r="D21" s="26">
        <v>45930.0</v>
      </c>
      <c r="E21" s="26">
        <v>45935.0</v>
      </c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9" t="str">
        <f>HYPERLINK("https://drive.google.com/file/d/1nKw4LvfcDFEqvlNkR5govyIFOheuEbMK/view?usp=drive_link","Abrir")</f>
        <v>Abrir</v>
      </c>
    </row>
    <row r="22" ht="14.25" customHeight="1">
      <c r="A22" s="24" t="s">
        <v>27</v>
      </c>
      <c r="B22" s="24" t="s">
        <v>14</v>
      </c>
      <c r="C22" s="25">
        <v>1.0</v>
      </c>
      <c r="D22" s="26">
        <v>45930.0</v>
      </c>
      <c r="E22" s="26">
        <v>45934.0</v>
      </c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9" t="str">
        <f>HYPERLINK("https://drive.google.com/file/d/1SaVtUASrkL8TgJY1wVSMPzNyszZgRYIb/view?usp=drive_link","Abrir")</f>
        <v>Abrir</v>
      </c>
    </row>
    <row r="23" ht="14.25" customHeight="1">
      <c r="A23" s="30"/>
      <c r="B23" s="30"/>
      <c r="C23" s="31"/>
      <c r="D23" s="32"/>
      <c r="E23" s="32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  <c r="AK23" s="30"/>
      <c r="AL23" s="30"/>
      <c r="AM23" s="30"/>
    </row>
    <row r="24" ht="14.25" customHeight="1">
      <c r="A24" s="33"/>
      <c r="D24" s="34"/>
      <c r="E24" s="35"/>
    </row>
    <row r="25" ht="14.25" customHeight="1">
      <c r="D25" s="35"/>
      <c r="E25" s="35"/>
    </row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>
      <c r="D32" s="36"/>
    </row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6">
    <mergeCell ref="G4:K4"/>
    <mergeCell ref="L4:R4"/>
    <mergeCell ref="S4:Y4"/>
    <mergeCell ref="Z4:AF4"/>
    <mergeCell ref="AG4:AM4"/>
    <mergeCell ref="D5:E5"/>
  </mergeCells>
  <conditionalFormatting sqref="G7:AM23">
    <cfRule type="expression" dxfId="0" priority="1">
      <formula>AND(G$5&gt;=$D7,G$5&lt;=((($E7-$D7+1)*$C7)+$D7-1))</formula>
    </cfRule>
  </conditionalFormatting>
  <conditionalFormatting sqref="G7:AM23">
    <cfRule type="expression" dxfId="1" priority="2">
      <formula>AND(G$5&gt;=$D7,G$5&lt;=$E7)</formula>
    </cfRule>
  </conditionalFormatting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D94D8"/>
    <pageSetUpPr/>
  </sheetPr>
  <sheetViews>
    <sheetView workbookViewId="0"/>
  </sheetViews>
  <sheetFormatPr customHeight="1" defaultColWidth="12.63" defaultRowHeight="15.0"/>
  <cols>
    <col customWidth="1" min="1" max="2" width="15.75"/>
    <col customWidth="1" min="3" max="5" width="11.75"/>
    <col customWidth="1" min="6" max="39" width="3.75"/>
  </cols>
  <sheetData>
    <row r="1" ht="14.25" customHeight="1"/>
    <row r="2" ht="14.25" customHeight="1"/>
    <row r="3" ht="14.25" customHeight="1"/>
    <row r="4" ht="19.5" customHeight="1">
      <c r="D4" s="1">
        <v>0.0</v>
      </c>
      <c r="E4" s="2">
        <f>D5+D4</f>
        <v>45930</v>
      </c>
      <c r="F4" s="3"/>
      <c r="G4" s="4">
        <f>G5</f>
        <v>45930</v>
      </c>
      <c r="H4" s="5"/>
      <c r="I4" s="5"/>
      <c r="J4" s="5"/>
      <c r="K4" s="6"/>
      <c r="L4" s="4">
        <f>L5</f>
        <v>45935</v>
      </c>
      <c r="M4" s="5"/>
      <c r="N4" s="5"/>
      <c r="O4" s="5"/>
      <c r="P4" s="5"/>
      <c r="Q4" s="5"/>
      <c r="R4" s="6"/>
      <c r="S4" s="4">
        <f>S5</f>
        <v>45942</v>
      </c>
      <c r="T4" s="5"/>
      <c r="U4" s="5"/>
      <c r="V4" s="5"/>
      <c r="W4" s="5"/>
      <c r="X4" s="5"/>
      <c r="Y4" s="6"/>
      <c r="Z4" s="4">
        <f>Z5</f>
        <v>45949</v>
      </c>
      <c r="AA4" s="5"/>
      <c r="AB4" s="5"/>
      <c r="AC4" s="5"/>
      <c r="AD4" s="5"/>
      <c r="AE4" s="5"/>
      <c r="AF4" s="6"/>
      <c r="AG4" s="7">
        <f>AG5</f>
        <v>45956</v>
      </c>
      <c r="AH4" s="5"/>
      <c r="AI4" s="5"/>
      <c r="AJ4" s="5"/>
      <c r="AK4" s="5"/>
      <c r="AL4" s="5"/>
      <c r="AM4" s="6"/>
    </row>
    <row r="5" ht="14.25" customHeight="1">
      <c r="B5" s="10"/>
      <c r="C5" s="11" t="s">
        <v>1</v>
      </c>
      <c r="D5" s="12">
        <f>DATE(2025,10,1)+$D$4-1</f>
        <v>45930</v>
      </c>
      <c r="E5" s="13"/>
      <c r="F5" s="14"/>
      <c r="G5" s="15">
        <f>D5</f>
        <v>45930</v>
      </c>
      <c r="H5" s="16">
        <f t="shared" ref="H5:AM5" si="1">G5+1</f>
        <v>45931</v>
      </c>
      <c r="I5" s="16">
        <f t="shared" si="1"/>
        <v>45932</v>
      </c>
      <c r="J5" s="16">
        <f t="shared" si="1"/>
        <v>45933</v>
      </c>
      <c r="K5" s="17">
        <f t="shared" si="1"/>
        <v>45934</v>
      </c>
      <c r="L5" s="15">
        <f t="shared" si="1"/>
        <v>45935</v>
      </c>
      <c r="M5" s="16">
        <f t="shared" si="1"/>
        <v>45936</v>
      </c>
      <c r="N5" s="16">
        <f t="shared" si="1"/>
        <v>45937</v>
      </c>
      <c r="O5" s="16">
        <f t="shared" si="1"/>
        <v>45938</v>
      </c>
      <c r="P5" s="16">
        <f t="shared" si="1"/>
        <v>45939</v>
      </c>
      <c r="Q5" s="16">
        <f t="shared" si="1"/>
        <v>45940</v>
      </c>
      <c r="R5" s="17">
        <f t="shared" si="1"/>
        <v>45941</v>
      </c>
      <c r="S5" s="15">
        <f t="shared" si="1"/>
        <v>45942</v>
      </c>
      <c r="T5" s="16">
        <f t="shared" si="1"/>
        <v>45943</v>
      </c>
      <c r="U5" s="16">
        <f t="shared" si="1"/>
        <v>45944</v>
      </c>
      <c r="V5" s="16">
        <f t="shared" si="1"/>
        <v>45945</v>
      </c>
      <c r="W5" s="16">
        <f t="shared" si="1"/>
        <v>45946</v>
      </c>
      <c r="X5" s="16">
        <f t="shared" si="1"/>
        <v>45947</v>
      </c>
      <c r="Y5" s="17">
        <f t="shared" si="1"/>
        <v>45948</v>
      </c>
      <c r="Z5" s="15">
        <f t="shared" si="1"/>
        <v>45949</v>
      </c>
      <c r="AA5" s="16">
        <f t="shared" si="1"/>
        <v>45950</v>
      </c>
      <c r="AB5" s="16">
        <f t="shared" si="1"/>
        <v>45951</v>
      </c>
      <c r="AC5" s="16">
        <f t="shared" si="1"/>
        <v>45952</v>
      </c>
      <c r="AD5" s="16">
        <f t="shared" si="1"/>
        <v>45953</v>
      </c>
      <c r="AE5" s="16">
        <f t="shared" si="1"/>
        <v>45954</v>
      </c>
      <c r="AF5" s="17">
        <f t="shared" si="1"/>
        <v>45955</v>
      </c>
      <c r="AG5" s="16">
        <f t="shared" si="1"/>
        <v>45956</v>
      </c>
      <c r="AH5" s="16">
        <f t="shared" si="1"/>
        <v>45957</v>
      </c>
      <c r="AI5" s="16">
        <f t="shared" si="1"/>
        <v>45958</v>
      </c>
      <c r="AJ5" s="16">
        <f t="shared" si="1"/>
        <v>45959</v>
      </c>
      <c r="AK5" s="16">
        <f t="shared" si="1"/>
        <v>45960</v>
      </c>
      <c r="AL5" s="16">
        <f t="shared" si="1"/>
        <v>45961</v>
      </c>
      <c r="AM5" s="17">
        <f t="shared" si="1"/>
        <v>45962</v>
      </c>
    </row>
    <row r="6" ht="19.5" customHeight="1">
      <c r="A6" s="19" t="s">
        <v>3</v>
      </c>
      <c r="B6" s="19" t="s">
        <v>4</v>
      </c>
      <c r="C6" s="19" t="s">
        <v>5</v>
      </c>
      <c r="D6" s="19" t="s">
        <v>6</v>
      </c>
      <c r="E6" s="19" t="s">
        <v>7</v>
      </c>
      <c r="F6" s="20"/>
      <c r="G6" s="21" t="str">
        <f t="shared" ref="G6:AM6" si="2">UPPER(LEFT(TEXT(G5,"ddd"),1))</f>
        <v>M</v>
      </c>
      <c r="H6" s="21" t="str">
        <f t="shared" si="2"/>
        <v>M</v>
      </c>
      <c r="I6" s="21" t="str">
        <f t="shared" si="2"/>
        <v>J</v>
      </c>
      <c r="J6" s="21" t="str">
        <f t="shared" si="2"/>
        <v>V</v>
      </c>
      <c r="K6" s="21" t="str">
        <f t="shared" si="2"/>
        <v>S</v>
      </c>
      <c r="L6" s="21" t="str">
        <f t="shared" si="2"/>
        <v>D</v>
      </c>
      <c r="M6" s="21" t="str">
        <f t="shared" si="2"/>
        <v>L</v>
      </c>
      <c r="N6" s="21" t="str">
        <f t="shared" si="2"/>
        <v>M</v>
      </c>
      <c r="O6" s="21" t="str">
        <f t="shared" si="2"/>
        <v>M</v>
      </c>
      <c r="P6" s="21" t="str">
        <f t="shared" si="2"/>
        <v>J</v>
      </c>
      <c r="Q6" s="21" t="str">
        <f t="shared" si="2"/>
        <v>V</v>
      </c>
      <c r="R6" s="21" t="str">
        <f t="shared" si="2"/>
        <v>S</v>
      </c>
      <c r="S6" s="21" t="str">
        <f t="shared" si="2"/>
        <v>D</v>
      </c>
      <c r="T6" s="21" t="str">
        <f t="shared" si="2"/>
        <v>L</v>
      </c>
      <c r="U6" s="21" t="str">
        <f t="shared" si="2"/>
        <v>M</v>
      </c>
      <c r="V6" s="21" t="str">
        <f t="shared" si="2"/>
        <v>M</v>
      </c>
      <c r="W6" s="21" t="str">
        <f t="shared" si="2"/>
        <v>J</v>
      </c>
      <c r="X6" s="21" t="str">
        <f t="shared" si="2"/>
        <v>V</v>
      </c>
      <c r="Y6" s="21" t="str">
        <f t="shared" si="2"/>
        <v>S</v>
      </c>
      <c r="Z6" s="21" t="str">
        <f t="shared" si="2"/>
        <v>D</v>
      </c>
      <c r="AA6" s="21" t="str">
        <f t="shared" si="2"/>
        <v>L</v>
      </c>
      <c r="AB6" s="21" t="str">
        <f t="shared" si="2"/>
        <v>M</v>
      </c>
      <c r="AC6" s="21" t="str">
        <f t="shared" si="2"/>
        <v>M</v>
      </c>
      <c r="AD6" s="21" t="str">
        <f t="shared" si="2"/>
        <v>J</v>
      </c>
      <c r="AE6" s="21" t="str">
        <f t="shared" si="2"/>
        <v>V</v>
      </c>
      <c r="AF6" s="21" t="str">
        <f t="shared" si="2"/>
        <v>S</v>
      </c>
      <c r="AG6" s="21" t="str">
        <f t="shared" si="2"/>
        <v>D</v>
      </c>
      <c r="AH6" s="21" t="str">
        <f t="shared" si="2"/>
        <v>L</v>
      </c>
      <c r="AI6" s="21" t="str">
        <f t="shared" si="2"/>
        <v>M</v>
      </c>
      <c r="AJ6" s="21" t="str">
        <f t="shared" si="2"/>
        <v>M</v>
      </c>
      <c r="AK6" s="21" t="str">
        <f t="shared" si="2"/>
        <v>J</v>
      </c>
      <c r="AL6" s="21" t="str">
        <f t="shared" si="2"/>
        <v>V</v>
      </c>
      <c r="AM6" s="21" t="str">
        <f t="shared" si="2"/>
        <v>S</v>
      </c>
    </row>
    <row r="7" ht="14.25" customHeight="1">
      <c r="A7" s="23" t="s">
        <v>8</v>
      </c>
      <c r="B7" s="24"/>
      <c r="C7" s="25"/>
      <c r="D7" s="26"/>
      <c r="E7" s="26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</row>
    <row r="8" ht="14.25" customHeight="1">
      <c r="A8" s="24" t="s">
        <v>9</v>
      </c>
      <c r="B8" s="24" t="s">
        <v>10</v>
      </c>
      <c r="C8" s="25">
        <v>0.9</v>
      </c>
      <c r="D8" s="26">
        <v>45930.0</v>
      </c>
      <c r="E8" s="26">
        <v>45943.0</v>
      </c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</row>
    <row r="9" ht="14.25" customHeight="1">
      <c r="A9" s="24" t="s">
        <v>11</v>
      </c>
      <c r="B9" s="24" t="s">
        <v>12</v>
      </c>
      <c r="C9" s="25">
        <v>1.0</v>
      </c>
      <c r="D9" s="26">
        <v>45930.0</v>
      </c>
      <c r="E9" s="26">
        <v>45942.0</v>
      </c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</row>
    <row r="10" ht="14.25" customHeight="1">
      <c r="A10" s="24" t="s">
        <v>13</v>
      </c>
      <c r="B10" s="24" t="s">
        <v>14</v>
      </c>
      <c r="C10" s="25">
        <v>1.0</v>
      </c>
      <c r="D10" s="26">
        <v>45930.0</v>
      </c>
      <c r="E10" s="26">
        <v>45942.0</v>
      </c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</row>
    <row r="11" ht="14.25" customHeight="1">
      <c r="A11" s="24" t="s">
        <v>15</v>
      </c>
      <c r="B11" s="24" t="s">
        <v>16</v>
      </c>
      <c r="C11" s="25">
        <v>1.0</v>
      </c>
      <c r="D11" s="26">
        <v>45930.0</v>
      </c>
      <c r="E11" s="26">
        <v>45943.0</v>
      </c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</row>
    <row r="12" ht="14.25" customHeight="1">
      <c r="A12" s="24" t="s">
        <v>17</v>
      </c>
      <c r="B12" s="24" t="s">
        <v>12</v>
      </c>
      <c r="C12" s="25">
        <v>1.0</v>
      </c>
      <c r="D12" s="26">
        <v>45930.0</v>
      </c>
      <c r="E12" s="26">
        <v>45947.0</v>
      </c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</row>
    <row r="13" ht="14.25" customHeight="1">
      <c r="A13" s="24" t="s">
        <v>18</v>
      </c>
      <c r="B13" s="24" t="s">
        <v>14</v>
      </c>
      <c r="C13" s="25">
        <v>1.0</v>
      </c>
      <c r="D13" s="26">
        <v>45930.0</v>
      </c>
      <c r="E13" s="26">
        <v>45935.0</v>
      </c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</row>
    <row r="14" ht="14.25" customHeight="1">
      <c r="A14" s="24" t="s">
        <v>19</v>
      </c>
      <c r="B14" s="24" t="s">
        <v>14</v>
      </c>
      <c r="C14" s="25">
        <v>1.0</v>
      </c>
      <c r="D14" s="26">
        <v>45930.0</v>
      </c>
      <c r="E14" s="26">
        <v>45947.0</v>
      </c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</row>
    <row r="15" ht="14.25" customHeight="1">
      <c r="A15" s="24" t="s">
        <v>20</v>
      </c>
      <c r="B15" s="24" t="s">
        <v>10</v>
      </c>
      <c r="C15" s="25">
        <v>1.0</v>
      </c>
      <c r="D15" s="26">
        <v>45930.0</v>
      </c>
      <c r="E15" s="26">
        <v>45946.0</v>
      </c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</row>
    <row r="16" ht="14.25" customHeight="1">
      <c r="A16" s="24" t="s">
        <v>21</v>
      </c>
      <c r="B16" s="24" t="s">
        <v>12</v>
      </c>
      <c r="C16" s="25">
        <v>1.0</v>
      </c>
      <c r="D16" s="26">
        <v>45930.0</v>
      </c>
      <c r="E16" s="26">
        <v>45945.0</v>
      </c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</row>
    <row r="17" ht="14.25" customHeight="1">
      <c r="A17" s="24" t="s">
        <v>22</v>
      </c>
      <c r="B17" s="24" t="s">
        <v>14</v>
      </c>
      <c r="C17" s="25">
        <v>1.0</v>
      </c>
      <c r="D17" s="26">
        <v>45930.0</v>
      </c>
      <c r="E17" s="26">
        <v>45947.0</v>
      </c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</row>
    <row r="18" ht="14.25" customHeight="1">
      <c r="A18" s="23" t="s">
        <v>23</v>
      </c>
      <c r="B18" s="24"/>
      <c r="C18" s="25"/>
      <c r="D18" s="26"/>
      <c r="E18" s="26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</row>
    <row r="19" ht="14.25" customHeight="1">
      <c r="A19" s="24" t="s">
        <v>24</v>
      </c>
      <c r="B19" s="24" t="s">
        <v>10</v>
      </c>
      <c r="C19" s="25">
        <v>1.0</v>
      </c>
      <c r="D19" s="26">
        <v>45930.0</v>
      </c>
      <c r="E19" s="26">
        <v>45947.0</v>
      </c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</row>
    <row r="20" ht="14.25" customHeight="1">
      <c r="A20" s="24" t="s">
        <v>25</v>
      </c>
      <c r="B20" s="24" t="s">
        <v>16</v>
      </c>
      <c r="C20" s="25">
        <v>1.0</v>
      </c>
      <c r="D20" s="26">
        <v>45930.0</v>
      </c>
      <c r="E20" s="26">
        <v>45939.0</v>
      </c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</row>
    <row r="21" ht="14.25" customHeight="1">
      <c r="A21" s="24" t="s">
        <v>26</v>
      </c>
      <c r="B21" s="24" t="s">
        <v>12</v>
      </c>
      <c r="C21" s="25">
        <v>1.0</v>
      </c>
      <c r="D21" s="26">
        <v>45930.0</v>
      </c>
      <c r="E21" s="26">
        <v>45935.0</v>
      </c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</row>
    <row r="22" ht="14.25" customHeight="1">
      <c r="A22" s="24" t="s">
        <v>27</v>
      </c>
      <c r="B22" s="24" t="s">
        <v>14</v>
      </c>
      <c r="C22" s="25">
        <v>1.0</v>
      </c>
      <c r="D22" s="26">
        <v>45930.0</v>
      </c>
      <c r="E22" s="26">
        <v>45934.0</v>
      </c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</row>
    <row r="23" ht="14.25" customHeight="1">
      <c r="A23" s="30"/>
      <c r="B23" s="30"/>
      <c r="C23" s="31"/>
      <c r="D23" s="32"/>
      <c r="E23" s="32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  <c r="AK23" s="30"/>
      <c r="AL23" s="30"/>
      <c r="AM23" s="30"/>
    </row>
    <row r="24" ht="14.25" customHeight="1">
      <c r="A24" s="33"/>
      <c r="D24" s="34"/>
      <c r="E24" s="35"/>
    </row>
    <row r="25" ht="14.25" customHeight="1">
      <c r="D25" s="35"/>
      <c r="E25" s="35"/>
    </row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>
      <c r="D32" s="36"/>
    </row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6">
    <mergeCell ref="G4:K4"/>
    <mergeCell ref="L4:R4"/>
    <mergeCell ref="S4:Y4"/>
    <mergeCell ref="Z4:AF4"/>
    <mergeCell ref="AG4:AM4"/>
    <mergeCell ref="D5:E5"/>
  </mergeCells>
  <conditionalFormatting sqref="G7:AM23">
    <cfRule type="expression" dxfId="0" priority="1">
      <formula>AND(G$5&gt;=$D7,G$5&lt;=((($E7-$D7+1)*$C7)+$D7-1))</formula>
    </cfRule>
  </conditionalFormatting>
  <conditionalFormatting sqref="G7:AM23">
    <cfRule type="expression" dxfId="1" priority="2">
      <formula>AND(G$5&gt;=$D7,G$5&lt;=$E7)</formula>
    </cfRule>
  </conditionalFormatting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2025-11-12T21:35:49Z</dcterms:created>
  <dc:creator>santiago cardenas</dc:creator>
</cp:coreProperties>
</file>