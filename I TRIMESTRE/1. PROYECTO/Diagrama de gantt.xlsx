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ntgo\GRUPO-FIRME\I TRIMESTRE\1. PROYECTO\"/>
    </mc:Choice>
  </mc:AlternateContent>
  <xr:revisionPtr revIDLastSave="0" documentId="13_ncr:1_{AA165F76-7210-4C5D-9C85-726BE89418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imestre 1" sheetId="1" r:id="rId1"/>
    <sheet name="Trimestr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o58ebRm8na33XWoXi1EBZsyCCC0JoLcRTLJKnqDNOk8="/>
    </ext>
  </extLst>
</workbook>
</file>

<file path=xl/calcChain.xml><?xml version="1.0" encoding="utf-8"?>
<calcChain xmlns="http://schemas.openxmlformats.org/spreadsheetml/2006/main">
  <c r="D5" i="2" l="1"/>
  <c r="E4" i="2" s="1"/>
  <c r="AN22" i="1"/>
  <c r="AN21" i="1"/>
  <c r="AN20" i="1"/>
  <c r="AN19" i="1"/>
  <c r="AN17" i="1"/>
  <c r="AN16" i="1"/>
  <c r="AN15" i="1"/>
  <c r="AN12" i="1"/>
  <c r="AN11" i="1"/>
  <c r="AN10" i="1"/>
  <c r="AN9" i="1"/>
  <c r="AN8" i="1"/>
  <c r="G6" i="1"/>
  <c r="G5" i="1"/>
  <c r="G4" i="1" s="1"/>
  <c r="D5" i="1"/>
  <c r="E4" i="1" s="1"/>
  <c r="G5" i="2" l="1"/>
  <c r="H5" i="1"/>
  <c r="H6" i="1" l="1"/>
  <c r="I5" i="1"/>
  <c r="H5" i="2"/>
  <c r="G4" i="2"/>
  <c r="G6" i="2"/>
  <c r="I5" i="2" l="1"/>
  <c r="H6" i="2"/>
  <c r="J5" i="1"/>
  <c r="I6" i="1"/>
  <c r="K5" i="1" l="1"/>
  <c r="J6" i="1"/>
  <c r="J5" i="2"/>
  <c r="I6" i="2"/>
  <c r="J6" i="2" l="1"/>
  <c r="K5" i="2"/>
  <c r="L5" i="1"/>
  <c r="K6" i="1"/>
  <c r="M5" i="1" l="1"/>
  <c r="L4" i="1"/>
  <c r="L6" i="1"/>
  <c r="L5" i="2"/>
  <c r="K6" i="2"/>
  <c r="M5" i="2" l="1"/>
  <c r="L6" i="2"/>
  <c r="L4" i="2"/>
  <c r="N5" i="1"/>
  <c r="M6" i="1"/>
  <c r="M6" i="2" l="1"/>
  <c r="N5" i="2"/>
  <c r="O5" i="1"/>
  <c r="N6" i="1"/>
  <c r="O6" i="1" l="1"/>
  <c r="P5" i="1"/>
  <c r="N6" i="2"/>
  <c r="O5" i="2"/>
  <c r="O6" i="2" l="1"/>
  <c r="P5" i="2"/>
  <c r="P6" i="1"/>
  <c r="Q5" i="1"/>
  <c r="Q6" i="1" l="1"/>
  <c r="R5" i="1"/>
  <c r="P6" i="2"/>
  <c r="Q5" i="2"/>
  <c r="Q6" i="2" l="1"/>
  <c r="R5" i="2"/>
  <c r="S5" i="1"/>
  <c r="R6" i="1"/>
  <c r="S6" i="1" l="1"/>
  <c r="T5" i="1"/>
  <c r="S4" i="1"/>
  <c r="R6" i="2"/>
  <c r="S5" i="2"/>
  <c r="T5" i="2" l="1"/>
  <c r="S4" i="2"/>
  <c r="S6" i="2"/>
  <c r="U5" i="1"/>
  <c r="T6" i="1"/>
  <c r="V5" i="1" l="1"/>
  <c r="U6" i="1"/>
  <c r="U5" i="2"/>
  <c r="T6" i="2"/>
  <c r="V5" i="2" l="1"/>
  <c r="U6" i="2"/>
  <c r="W5" i="1"/>
  <c r="V6" i="1"/>
  <c r="X5" i="1" l="1"/>
  <c r="W6" i="1"/>
  <c r="W5" i="2"/>
  <c r="V6" i="2"/>
  <c r="X5" i="2" l="1"/>
  <c r="W6" i="2"/>
  <c r="Y5" i="1"/>
  <c r="X6" i="1"/>
  <c r="Y6" i="1" l="1"/>
  <c r="Z5" i="1"/>
  <c r="Y5" i="2"/>
  <c r="X6" i="2"/>
  <c r="Y6" i="2" l="1"/>
  <c r="Z5" i="2"/>
  <c r="Z4" i="1"/>
  <c r="Z6" i="1"/>
  <c r="AA5" i="1"/>
  <c r="AA6" i="1" l="1"/>
  <c r="AB5" i="1"/>
  <c r="Z6" i="2"/>
  <c r="AA5" i="2"/>
  <c r="Z4" i="2"/>
  <c r="AB6" i="1" l="1"/>
  <c r="AC5" i="1"/>
  <c r="AA6" i="2"/>
  <c r="AB5" i="2"/>
  <c r="AB6" i="2" l="1"/>
  <c r="AC5" i="2"/>
  <c r="AC6" i="1"/>
  <c r="AD5" i="1"/>
  <c r="AD6" i="1" l="1"/>
  <c r="AE5" i="1"/>
  <c r="AC6" i="2"/>
  <c r="AD5" i="2"/>
  <c r="AD6" i="2" l="1"/>
  <c r="AE5" i="2"/>
  <c r="AE6" i="1"/>
  <c r="AF5" i="1"/>
  <c r="AF5" i="2" l="1"/>
  <c r="AE6" i="2"/>
  <c r="AG5" i="1"/>
  <c r="AF6" i="1"/>
  <c r="AH5" i="1" l="1"/>
  <c r="AG4" i="1"/>
  <c r="AG6" i="1"/>
  <c r="AG5" i="2"/>
  <c r="AF6" i="2"/>
  <c r="AH5" i="2" l="1"/>
  <c r="AG6" i="2"/>
  <c r="AG4" i="2"/>
  <c r="AI5" i="1"/>
  <c r="AH6" i="1"/>
  <c r="AJ5" i="1" l="1"/>
  <c r="AI6" i="1"/>
  <c r="AH6" i="2"/>
  <c r="AI5" i="2"/>
  <c r="AJ5" i="2" l="1"/>
  <c r="AI6" i="2"/>
  <c r="AK5" i="1"/>
  <c r="AJ6" i="1"/>
  <c r="AL5" i="1" l="1"/>
  <c r="AK6" i="1"/>
  <c r="AK5" i="2"/>
  <c r="AJ6" i="2"/>
  <c r="AK6" i="2" l="1"/>
  <c r="AL5" i="2"/>
  <c r="AL6" i="1"/>
  <c r="AM5" i="1"/>
  <c r="AM6" i="1" s="1"/>
  <c r="AL6" i="2" l="1"/>
  <c r="AM5" i="2"/>
  <c r="AM6" i="2" s="1"/>
</calcChain>
</file>

<file path=xl/sharedStrings.xml><?xml version="1.0" encoding="utf-8"?>
<sst xmlns="http://schemas.openxmlformats.org/spreadsheetml/2006/main" count="74" uniqueCount="28">
  <si>
    <t xml:space="preserve">ARCHIVO </t>
  </si>
  <si>
    <t>INICIO DEL PROYECTO</t>
  </si>
  <si>
    <t>Link de archivo</t>
  </si>
  <si>
    <t>TAREA</t>
  </si>
  <si>
    <t>RESPONSABLE</t>
  </si>
  <si>
    <t>PROGRESO</t>
  </si>
  <si>
    <t>INICIO</t>
  </si>
  <si>
    <t xml:space="preserve">FIN </t>
  </si>
  <si>
    <t>TRIMESTRE 1</t>
  </si>
  <si>
    <t xml:space="preserve">1.Planteamiento del problema </t>
  </si>
  <si>
    <t>Kamell Noguera</t>
  </si>
  <si>
    <t>2. General Objetivo</t>
  </si>
  <si>
    <t>Juan Lozano</t>
  </si>
  <si>
    <t xml:space="preserve">2.1 Especifico Objetivo </t>
  </si>
  <si>
    <t>Mariana Gonzalez</t>
  </si>
  <si>
    <t>3. Justificacion del Proyecto</t>
  </si>
  <si>
    <t>Santiago Cardenas</t>
  </si>
  <si>
    <t xml:space="preserve">4. Antecedentes </t>
  </si>
  <si>
    <t>6. Recoleccion de Informacion</t>
  </si>
  <si>
    <t>6.1 Encuesta y Analisis</t>
  </si>
  <si>
    <t>7. Requerimientos  F/NF</t>
  </si>
  <si>
    <t>8. Mockups</t>
  </si>
  <si>
    <t>9. Presentacion I Trimestre</t>
  </si>
  <si>
    <t>Mapas I Trimestre</t>
  </si>
  <si>
    <t>1.1Formato IEEE830</t>
  </si>
  <si>
    <t>1.2Diagrama BPMN</t>
  </si>
  <si>
    <t>1.3Diagrama de casos de uso</t>
  </si>
  <si>
    <t>1.4Mapa de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</si>
</sst>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ddd\,\ dd/mm/yyyy"/>
    <numFmt numFmtId="166" formatCode="ddd\,dd/mm/yyyy"/>
    <numFmt numFmtId="167" formatCode="dd"/>
    <numFmt numFmtId="168" formatCode="d/m/yyyy"/>
  </numFmts>
  <fonts count="9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name val="Aptos Narrow"/>
    </font>
    <font>
      <sz val="11"/>
      <color theme="0"/>
      <name val="Aptos Narrow"/>
    </font>
    <font>
      <sz val="9"/>
      <color theme="1"/>
      <name val="Aptos Narrow"/>
    </font>
    <font>
      <b/>
      <sz val="9"/>
      <color theme="1"/>
      <name val="Aptos Narrow"/>
    </font>
    <font>
      <sz val="11"/>
      <color theme="1"/>
      <name val="Arial"/>
    </font>
    <font>
      <u/>
      <sz val="11"/>
      <color theme="10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  <fill>
      <patternFill patternType="solid">
        <fgColor rgb="FF83CAEB"/>
        <bgColor rgb="FF83CAEB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1" xfId="0" applyFont="1" applyFill="1" applyBorder="1"/>
    <xf numFmtId="0" fontId="1" fillId="3" borderId="7" xfId="0" applyFont="1" applyFill="1" applyBorder="1"/>
    <xf numFmtId="0" fontId="4" fillId="4" borderId="8" xfId="0" applyFont="1" applyFill="1" applyBorder="1"/>
    <xf numFmtId="0" fontId="4" fillId="4" borderId="8" xfId="0" applyFont="1" applyFill="1" applyBorder="1" applyAlignment="1">
      <alignment horizontal="right"/>
    </xf>
    <xf numFmtId="0" fontId="5" fillId="2" borderId="1" xfId="0" applyFont="1" applyFill="1" applyBorder="1"/>
    <xf numFmtId="167" fontId="6" fillId="3" borderId="1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167" fontId="6" fillId="3" borderId="12" xfId="0" applyNumberFormat="1" applyFont="1" applyFill="1" applyBorder="1" applyAlignment="1">
      <alignment horizontal="center" vertical="center"/>
    </xf>
    <xf numFmtId="0" fontId="1" fillId="3" borderId="13" xfId="0" applyFont="1" applyFill="1" applyBorder="1"/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1" fillId="6" borderId="14" xfId="0" applyFont="1" applyFill="1" applyBorder="1"/>
    <xf numFmtId="0" fontId="2" fillId="0" borderId="15" xfId="0" applyFont="1" applyBorder="1"/>
    <xf numFmtId="0" fontId="1" fillId="0" borderId="15" xfId="0" applyFont="1" applyBorder="1"/>
    <xf numFmtId="9" fontId="1" fillId="0" borderId="15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8" xfId="0" applyFont="1" applyBorder="1"/>
    <xf numFmtId="9" fontId="7" fillId="0" borderId="15" xfId="0" applyNumberFormat="1" applyFont="1" applyBorder="1" applyAlignment="1">
      <alignment horizontal="center"/>
    </xf>
    <xf numFmtId="0" fontId="8" fillId="0" borderId="8" xfId="0" applyFont="1" applyBorder="1"/>
    <xf numFmtId="0" fontId="1" fillId="0" borderId="16" xfId="0" applyFont="1" applyBorder="1"/>
    <xf numFmtId="9" fontId="1" fillId="0" borderId="16" xfId="0" applyNumberFormat="1" applyFont="1" applyBorder="1" applyAlignment="1">
      <alignment horizontal="center"/>
    </xf>
    <xf numFmtId="164" fontId="1" fillId="0" borderId="16" xfId="0" applyNumberFormat="1" applyFont="1" applyBorder="1" applyAlignment="1">
      <alignment horizontal="center"/>
    </xf>
    <xf numFmtId="0" fontId="2" fillId="0" borderId="0" xfId="0" applyFont="1"/>
    <xf numFmtId="16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8" fontId="1" fillId="0" borderId="0" xfId="0" applyNumberFormat="1" applyFont="1"/>
    <xf numFmtId="165" fontId="2" fillId="3" borderId="2" xfId="0" applyNumberFormat="1" applyFont="1" applyFill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165" fontId="2" fillId="3" borderId="5" xfId="0" applyNumberFormat="1" applyFont="1" applyFill="1" applyBorder="1" applyAlignment="1">
      <alignment horizontal="left" vertical="center"/>
    </xf>
    <xf numFmtId="0" fontId="3" fillId="0" borderId="6" xfId="0" applyFont="1" applyBorder="1"/>
    <xf numFmtId="166" fontId="1" fillId="5" borderId="9" xfId="0" applyNumberFormat="1" applyFont="1" applyFill="1" applyBorder="1" applyAlignment="1">
      <alignment horizontal="center"/>
    </xf>
    <xf numFmtId="0" fontId="3" fillId="0" borderId="10" xfId="0" applyFont="1" applyBorder="1"/>
  </cellXfs>
  <cellStyles count="1">
    <cellStyle name="Normal" xfId="0" builtinId="0"/>
  </cellStyles>
  <dxfs count="4">
    <dxf>
      <fill>
        <patternFill patternType="solid">
          <fgColor rgb="FFD9F2D0"/>
          <bgColor rgb="FFD9F2D0"/>
        </patternFill>
      </fill>
    </dxf>
    <dxf>
      <fill>
        <patternFill patternType="solid">
          <fgColor rgb="FF8ED873"/>
          <bgColor rgb="FF8ED873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rgb="FF8ED873"/>
          <bgColor rgb="FF8ED87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5E99"/>
  </sheetPr>
  <dimension ref="A1:AN1000"/>
  <sheetViews>
    <sheetView tabSelected="1" workbookViewId="0">
      <selection activeCell="E22" sqref="E22"/>
    </sheetView>
  </sheetViews>
  <sheetFormatPr baseColWidth="10" defaultColWidth="12.6640625" defaultRowHeight="15" customHeight="1"/>
  <cols>
    <col min="1" max="2" width="15.77734375" customWidth="1"/>
    <col min="3" max="5" width="11.77734375" customWidth="1"/>
    <col min="6" max="39" width="3.77734375" customWidth="1"/>
    <col min="40" max="40" width="13.77734375" customWidth="1"/>
  </cols>
  <sheetData>
    <row r="1" spans="1:40" ht="14.25" customHeight="1"/>
    <row r="2" spans="1:40" ht="14.25" customHeight="1"/>
    <row r="3" spans="1:40" ht="14.25" customHeight="1"/>
    <row r="4" spans="1:40" ht="19.5" customHeight="1">
      <c r="D4" s="1">
        <v>0</v>
      </c>
      <c r="E4" s="2">
        <f>D5+D4</f>
        <v>45930</v>
      </c>
      <c r="F4" s="3"/>
      <c r="G4" s="30">
        <f>G5</f>
        <v>45930</v>
      </c>
      <c r="H4" s="31"/>
      <c r="I4" s="31"/>
      <c r="J4" s="31"/>
      <c r="K4" s="32"/>
      <c r="L4" s="30">
        <f>L5</f>
        <v>45935</v>
      </c>
      <c r="M4" s="31"/>
      <c r="N4" s="31"/>
      <c r="O4" s="31"/>
      <c r="P4" s="31"/>
      <c r="Q4" s="31"/>
      <c r="R4" s="32"/>
      <c r="S4" s="30">
        <f>S5</f>
        <v>45942</v>
      </c>
      <c r="T4" s="31"/>
      <c r="U4" s="31"/>
      <c r="V4" s="31"/>
      <c r="W4" s="31"/>
      <c r="X4" s="31"/>
      <c r="Y4" s="32"/>
      <c r="Z4" s="30">
        <f>Z5</f>
        <v>45949</v>
      </c>
      <c r="AA4" s="31"/>
      <c r="AB4" s="31"/>
      <c r="AC4" s="31"/>
      <c r="AD4" s="31"/>
      <c r="AE4" s="31"/>
      <c r="AF4" s="32"/>
      <c r="AG4" s="33">
        <f>AG5</f>
        <v>45956</v>
      </c>
      <c r="AH4" s="31"/>
      <c r="AI4" s="31"/>
      <c r="AJ4" s="31"/>
      <c r="AK4" s="31"/>
      <c r="AL4" s="31"/>
      <c r="AM4" s="34"/>
      <c r="AN4" s="4" t="s">
        <v>0</v>
      </c>
    </row>
    <row r="5" spans="1:40" ht="14.25" customHeight="1">
      <c r="B5" s="5"/>
      <c r="C5" s="6" t="s">
        <v>1</v>
      </c>
      <c r="D5" s="35">
        <f>DATE(2025,10,1)+$D$4-1</f>
        <v>45930</v>
      </c>
      <c r="E5" s="36"/>
      <c r="F5" s="7"/>
      <c r="G5" s="8">
        <f>D5</f>
        <v>45930</v>
      </c>
      <c r="H5" s="9">
        <f t="shared" ref="H5:AM5" si="0">G5+1</f>
        <v>45931</v>
      </c>
      <c r="I5" s="9">
        <f t="shared" si="0"/>
        <v>45932</v>
      </c>
      <c r="J5" s="9">
        <f t="shared" si="0"/>
        <v>45933</v>
      </c>
      <c r="K5" s="10">
        <f t="shared" si="0"/>
        <v>45934</v>
      </c>
      <c r="L5" s="8">
        <f t="shared" si="0"/>
        <v>45935</v>
      </c>
      <c r="M5" s="9">
        <f t="shared" si="0"/>
        <v>45936</v>
      </c>
      <c r="N5" s="9">
        <f t="shared" si="0"/>
        <v>45937</v>
      </c>
      <c r="O5" s="9">
        <f t="shared" si="0"/>
        <v>45938</v>
      </c>
      <c r="P5" s="9">
        <f t="shared" si="0"/>
        <v>45939</v>
      </c>
      <c r="Q5" s="9">
        <f t="shared" si="0"/>
        <v>45940</v>
      </c>
      <c r="R5" s="10">
        <f t="shared" si="0"/>
        <v>45941</v>
      </c>
      <c r="S5" s="8">
        <f t="shared" si="0"/>
        <v>45942</v>
      </c>
      <c r="T5" s="9">
        <f t="shared" si="0"/>
        <v>45943</v>
      </c>
      <c r="U5" s="9">
        <f t="shared" si="0"/>
        <v>45944</v>
      </c>
      <c r="V5" s="9">
        <f t="shared" si="0"/>
        <v>45945</v>
      </c>
      <c r="W5" s="9">
        <f t="shared" si="0"/>
        <v>45946</v>
      </c>
      <c r="X5" s="9">
        <f t="shared" si="0"/>
        <v>45947</v>
      </c>
      <c r="Y5" s="10">
        <f t="shared" si="0"/>
        <v>45948</v>
      </c>
      <c r="Z5" s="8">
        <f t="shared" si="0"/>
        <v>45949</v>
      </c>
      <c r="AA5" s="9">
        <f t="shared" si="0"/>
        <v>45950</v>
      </c>
      <c r="AB5" s="9">
        <f t="shared" si="0"/>
        <v>45951</v>
      </c>
      <c r="AC5" s="9">
        <f t="shared" si="0"/>
        <v>45952</v>
      </c>
      <c r="AD5" s="9">
        <f t="shared" si="0"/>
        <v>45953</v>
      </c>
      <c r="AE5" s="9">
        <f t="shared" si="0"/>
        <v>45954</v>
      </c>
      <c r="AF5" s="10">
        <f t="shared" si="0"/>
        <v>45955</v>
      </c>
      <c r="AG5" s="9">
        <f t="shared" si="0"/>
        <v>45956</v>
      </c>
      <c r="AH5" s="9">
        <f t="shared" si="0"/>
        <v>45957</v>
      </c>
      <c r="AI5" s="9">
        <f t="shared" si="0"/>
        <v>45958</v>
      </c>
      <c r="AJ5" s="9">
        <f t="shared" si="0"/>
        <v>45959</v>
      </c>
      <c r="AK5" s="9">
        <f t="shared" si="0"/>
        <v>45960</v>
      </c>
      <c r="AL5" s="9">
        <f t="shared" si="0"/>
        <v>45961</v>
      </c>
      <c r="AM5" s="9">
        <f t="shared" si="0"/>
        <v>45962</v>
      </c>
      <c r="AN5" s="11" t="s">
        <v>2</v>
      </c>
    </row>
    <row r="6" spans="1:40" ht="19.5" customHeight="1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3"/>
      <c r="G6" s="14" t="str">
        <f t="shared" ref="G6:AM6" si="1">UPPER(LEFT(TEXT(G5,"ddd"),1))</f>
        <v>M</v>
      </c>
      <c r="H6" s="14" t="str">
        <f t="shared" si="1"/>
        <v>M</v>
      </c>
      <c r="I6" s="14" t="str">
        <f t="shared" si="1"/>
        <v>J</v>
      </c>
      <c r="J6" s="14" t="str">
        <f t="shared" si="1"/>
        <v>V</v>
      </c>
      <c r="K6" s="14" t="str">
        <f t="shared" si="1"/>
        <v>S</v>
      </c>
      <c r="L6" s="14" t="str">
        <f t="shared" si="1"/>
        <v>D</v>
      </c>
      <c r="M6" s="14" t="str">
        <f t="shared" si="1"/>
        <v>L</v>
      </c>
      <c r="N6" s="14" t="str">
        <f t="shared" si="1"/>
        <v>M</v>
      </c>
      <c r="O6" s="14" t="str">
        <f t="shared" si="1"/>
        <v>M</v>
      </c>
      <c r="P6" s="14" t="str">
        <f t="shared" si="1"/>
        <v>J</v>
      </c>
      <c r="Q6" s="14" t="str">
        <f t="shared" si="1"/>
        <v>V</v>
      </c>
      <c r="R6" s="14" t="str">
        <f t="shared" si="1"/>
        <v>S</v>
      </c>
      <c r="S6" s="14" t="str">
        <f t="shared" si="1"/>
        <v>D</v>
      </c>
      <c r="T6" s="14" t="str">
        <f t="shared" si="1"/>
        <v>L</v>
      </c>
      <c r="U6" s="14" t="str">
        <f t="shared" si="1"/>
        <v>M</v>
      </c>
      <c r="V6" s="14" t="str">
        <f t="shared" si="1"/>
        <v>M</v>
      </c>
      <c r="W6" s="14" t="str">
        <f t="shared" si="1"/>
        <v>J</v>
      </c>
      <c r="X6" s="14" t="str">
        <f t="shared" si="1"/>
        <v>V</v>
      </c>
      <c r="Y6" s="14" t="str">
        <f t="shared" si="1"/>
        <v>S</v>
      </c>
      <c r="Z6" s="14" t="str">
        <f t="shared" si="1"/>
        <v>D</v>
      </c>
      <c r="AA6" s="14" t="str">
        <f t="shared" si="1"/>
        <v>L</v>
      </c>
      <c r="AB6" s="14" t="str">
        <f t="shared" si="1"/>
        <v>M</v>
      </c>
      <c r="AC6" s="14" t="str">
        <f t="shared" si="1"/>
        <v>M</v>
      </c>
      <c r="AD6" s="14" t="str">
        <f t="shared" si="1"/>
        <v>J</v>
      </c>
      <c r="AE6" s="14" t="str">
        <f t="shared" si="1"/>
        <v>V</v>
      </c>
      <c r="AF6" s="14" t="str">
        <f t="shared" si="1"/>
        <v>S</v>
      </c>
      <c r="AG6" s="14" t="str">
        <f t="shared" si="1"/>
        <v>D</v>
      </c>
      <c r="AH6" s="14" t="str">
        <f t="shared" si="1"/>
        <v>L</v>
      </c>
      <c r="AI6" s="14" t="str">
        <f t="shared" si="1"/>
        <v>M</v>
      </c>
      <c r="AJ6" s="14" t="str">
        <f t="shared" si="1"/>
        <v>M</v>
      </c>
      <c r="AK6" s="14" t="str">
        <f t="shared" si="1"/>
        <v>J</v>
      </c>
      <c r="AL6" s="14" t="str">
        <f t="shared" si="1"/>
        <v>V</v>
      </c>
      <c r="AM6" s="14" t="str">
        <f t="shared" si="1"/>
        <v>S</v>
      </c>
      <c r="AN6" s="15"/>
    </row>
    <row r="7" spans="1:40" ht="14.25" customHeight="1">
      <c r="A7" s="16" t="s">
        <v>8</v>
      </c>
      <c r="B7" s="17"/>
      <c r="C7" s="18"/>
      <c r="D7" s="19"/>
      <c r="E7" s="19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20"/>
    </row>
    <row r="8" spans="1:40" ht="14.25" customHeight="1">
      <c r="A8" s="17" t="s">
        <v>9</v>
      </c>
      <c r="B8" s="17" t="s">
        <v>10</v>
      </c>
      <c r="C8" s="21">
        <v>1</v>
      </c>
      <c r="D8" s="19">
        <v>45930</v>
      </c>
      <c r="E8" s="19">
        <v>45943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22" t="str">
        <f>HYPERLINK("https://docs.google.com/document/d/1SfObwPSfjVAwlpyIXOPeG8gmHfwh27uKPV4VENBtBxM/edit?usp=sharing", "Abrir")</f>
        <v>Abrir</v>
      </c>
    </row>
    <row r="9" spans="1:40" ht="14.25" customHeight="1">
      <c r="A9" s="17" t="s">
        <v>11</v>
      </c>
      <c r="B9" s="17" t="s">
        <v>12</v>
      </c>
      <c r="C9" s="18">
        <v>1</v>
      </c>
      <c r="D9" s="19">
        <v>45930</v>
      </c>
      <c r="E9" s="19">
        <v>45942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22" t="str">
        <f t="shared" ref="AN9:AN10" si="2">HYPERLINK("https://docs.google.com/document/d/1trIHa_v8WPWOT3NTyg-kcsC2C-ug-amAs7e9WZ1nZaY/edit?usp=drive_link","Abrir")</f>
        <v>Abrir</v>
      </c>
    </row>
    <row r="10" spans="1:40" ht="14.25" customHeight="1">
      <c r="A10" s="17" t="s">
        <v>13</v>
      </c>
      <c r="B10" s="17" t="s">
        <v>14</v>
      </c>
      <c r="C10" s="18">
        <v>1</v>
      </c>
      <c r="D10" s="19">
        <v>45930</v>
      </c>
      <c r="E10" s="19">
        <v>45942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22" t="str">
        <f t="shared" si="2"/>
        <v>Abrir</v>
      </c>
    </row>
    <row r="11" spans="1:40" ht="14.25" customHeight="1">
      <c r="A11" s="17" t="s">
        <v>15</v>
      </c>
      <c r="B11" s="17" t="s">
        <v>16</v>
      </c>
      <c r="C11" s="18">
        <v>1</v>
      </c>
      <c r="D11" s="19">
        <v>45930</v>
      </c>
      <c r="E11" s="19">
        <v>45943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22" t="str">
        <f t="shared" ref="AN11:AN12" si="3">HYPERLINK("https://docs.google.com/document/d/1SfObwPSfjVAwlpyIXOPeG8gmHfwh27uKPV4VENBtBxM/edit?usp=drive_link","Abrir")</f>
        <v>Abrir</v>
      </c>
    </row>
    <row r="12" spans="1:40" ht="14.25" customHeight="1">
      <c r="A12" s="17" t="s">
        <v>17</v>
      </c>
      <c r="B12" s="17" t="s">
        <v>12</v>
      </c>
      <c r="C12" s="18">
        <v>1</v>
      </c>
      <c r="D12" s="19">
        <v>45930</v>
      </c>
      <c r="E12" s="19">
        <v>45947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22" t="str">
        <f t="shared" si="3"/>
        <v>Abrir</v>
      </c>
    </row>
    <row r="13" spans="1:40" ht="14.25" customHeight="1">
      <c r="A13" s="17" t="s">
        <v>18</v>
      </c>
      <c r="B13" s="17" t="s">
        <v>14</v>
      </c>
      <c r="C13" s="18">
        <v>1</v>
      </c>
      <c r="D13" s="19">
        <v>45930</v>
      </c>
      <c r="E13" s="19">
        <v>45935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20"/>
    </row>
    <row r="14" spans="1:40" ht="14.25" customHeight="1">
      <c r="A14" s="17" t="s">
        <v>19</v>
      </c>
      <c r="B14" s="17" t="s">
        <v>14</v>
      </c>
      <c r="C14" s="18">
        <v>1</v>
      </c>
      <c r="D14" s="19">
        <v>45930</v>
      </c>
      <c r="E14" s="19">
        <v>45947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20"/>
    </row>
    <row r="15" spans="1:40" ht="14.25" customHeight="1">
      <c r="A15" s="17" t="s">
        <v>20</v>
      </c>
      <c r="B15" s="17" t="s">
        <v>10</v>
      </c>
      <c r="C15" s="18">
        <v>1</v>
      </c>
      <c r="D15" s="19">
        <v>45930</v>
      </c>
      <c r="E15" s="19">
        <v>45946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22" t="str">
        <f>HYPERLINK("https://docs.google.com/document/d/1l_aqKtCJPsdabZFM-x0XuH-Zho9497SBj7Mbm_PzuVo/edit?usp=drive_link","Abrir")</f>
        <v>Abrir</v>
      </c>
    </row>
    <row r="16" spans="1:40" ht="14.25" customHeight="1">
      <c r="A16" s="17" t="s">
        <v>21</v>
      </c>
      <c r="B16" s="17" t="s">
        <v>12</v>
      </c>
      <c r="C16" s="18">
        <v>1</v>
      </c>
      <c r="D16" s="19">
        <v>45930</v>
      </c>
      <c r="E16" s="19">
        <v>45945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22" t="str">
        <f>HYPERLINK("https://docs.google.com/document/d/1tRtGj1mpXryeV61zUHXNDtCtZWrO7D2xm16uy9CMZ-4/edit?usp=drive_link","Abrir")</f>
        <v>Abrir</v>
      </c>
    </row>
    <row r="17" spans="1:40" ht="14.25" customHeight="1">
      <c r="A17" s="17" t="s">
        <v>22</v>
      </c>
      <c r="B17" s="17" t="s">
        <v>14</v>
      </c>
      <c r="C17" s="18">
        <v>1</v>
      </c>
      <c r="D17" s="19">
        <v>45930</v>
      </c>
      <c r="E17" s="19">
        <v>45947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22" t="str">
        <f>HYPERLINK("https://docs.google.com/presentation/d/1fJAplKSJ7NqUyvCXxRwpEFxBiNjIPOKG/edit?usp=drive_link&amp;ouid=111566450765270646432&amp;rtpof=true&amp;sd=true","Abrir")</f>
        <v>Abrir</v>
      </c>
    </row>
    <row r="18" spans="1:40" ht="14.25" customHeight="1">
      <c r="A18" s="16" t="s">
        <v>23</v>
      </c>
      <c r="B18" s="17"/>
      <c r="C18" s="18"/>
      <c r="D18" s="19"/>
      <c r="E18" s="19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20"/>
    </row>
    <row r="19" spans="1:40" ht="14.25" customHeight="1">
      <c r="A19" s="17" t="s">
        <v>24</v>
      </c>
      <c r="B19" s="17" t="s">
        <v>10</v>
      </c>
      <c r="C19" s="18">
        <v>1</v>
      </c>
      <c r="D19" s="19">
        <v>45930</v>
      </c>
      <c r="E19" s="19">
        <v>45947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22" t="str">
        <f>HYPERLINK("https://docs.google.com/document/d/1bJYhatuAPab0Ewmku8t6_SVMUR_JHSAt/edit?usp=drive_link&amp;ouid=111566450765270646432&amp;rtpof=true&amp;sd=true","Abrir")</f>
        <v>Abrir</v>
      </c>
    </row>
    <row r="20" spans="1:40" ht="14.25" customHeight="1">
      <c r="A20" s="17" t="s">
        <v>25</v>
      </c>
      <c r="B20" s="17" t="s">
        <v>16</v>
      </c>
      <c r="C20" s="18">
        <v>1</v>
      </c>
      <c r="D20" s="19">
        <v>45930</v>
      </c>
      <c r="E20" s="19">
        <v>45939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22" t="str">
        <f>HYPERLINK("https://drive.google.com/file/d/1MTn7lr__xPnT93TTZHy8_TIP_59zffzJ/view?usp=drive_link","Abrir")</f>
        <v>Abrir</v>
      </c>
    </row>
    <row r="21" spans="1:40" ht="14.25" customHeight="1">
      <c r="A21" s="17" t="s">
        <v>26</v>
      </c>
      <c r="B21" s="17" t="s">
        <v>12</v>
      </c>
      <c r="C21" s="18">
        <v>1</v>
      </c>
      <c r="D21" s="19">
        <v>45930</v>
      </c>
      <c r="E21" s="19">
        <v>45940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22" t="str">
        <f>HYPERLINK("https://drive.google.com/file/d/1nKw4LvfcDFEqvlNkR5govyIFOheuEbMK/view?usp=drive_link","Abrir")</f>
        <v>Abrir</v>
      </c>
    </row>
    <row r="22" spans="1:40" ht="14.25" customHeight="1">
      <c r="A22" s="17" t="s">
        <v>27</v>
      </c>
      <c r="B22" s="17" t="s">
        <v>14</v>
      </c>
      <c r="C22" s="18">
        <v>1</v>
      </c>
      <c r="D22" s="19">
        <v>45930</v>
      </c>
      <c r="E22" s="19">
        <v>45935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22" t="str">
        <f>HYPERLINK("https://drive.google.com/file/d/1SaVtUASrkL8TgJY1wVSMPzNyszZgRYIb/view?usp=drive_link","Abrir")</f>
        <v>Abrir</v>
      </c>
    </row>
    <row r="23" spans="1:40" ht="14.25" customHeight="1">
      <c r="A23" s="23"/>
      <c r="B23" s="23"/>
      <c r="C23" s="24"/>
      <c r="D23" s="25"/>
      <c r="E23" s="25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</row>
    <row r="24" spans="1:40" ht="14.25" customHeight="1">
      <c r="A24" s="26"/>
      <c r="D24" s="27"/>
      <c r="E24" s="28"/>
    </row>
    <row r="25" spans="1:40" ht="14.25" customHeight="1">
      <c r="D25" s="28"/>
      <c r="E25" s="28"/>
    </row>
    <row r="26" spans="1:40" ht="14.25" customHeight="1"/>
    <row r="27" spans="1:40" ht="14.25" customHeight="1"/>
    <row r="28" spans="1:40" ht="14.25" customHeight="1"/>
    <row r="29" spans="1:40" ht="14.25" customHeight="1"/>
    <row r="30" spans="1:40" ht="14.25" customHeight="1"/>
    <row r="31" spans="1:40" ht="14.25" customHeight="1"/>
    <row r="32" spans="1:40" ht="14.25" customHeight="1">
      <c r="D32" s="29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D5:E5"/>
    <mergeCell ref="G4:K4"/>
    <mergeCell ref="L4:R4"/>
    <mergeCell ref="S4:Y4"/>
    <mergeCell ref="Z4:AF4"/>
    <mergeCell ref="AG4:AM4"/>
  </mergeCells>
  <conditionalFormatting sqref="G7:AM23">
    <cfRule type="expression" dxfId="3" priority="1">
      <formula>AND(G$5&gt;=$D7,G$5&lt;=((($E7-$D7+1)*$C7)+$D7-1))</formula>
    </cfRule>
    <cfRule type="expression" dxfId="2" priority="2">
      <formula>AND(G$5&gt;=$D7,G$5&lt;=$E7)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94D8"/>
  </sheetPr>
  <dimension ref="A1:AM1000"/>
  <sheetViews>
    <sheetView workbookViewId="0"/>
  </sheetViews>
  <sheetFormatPr baseColWidth="10" defaultColWidth="12.6640625" defaultRowHeight="15" customHeight="1"/>
  <cols>
    <col min="1" max="2" width="15.77734375" customWidth="1"/>
    <col min="3" max="5" width="11.77734375" customWidth="1"/>
    <col min="6" max="39" width="3.77734375" customWidth="1"/>
  </cols>
  <sheetData>
    <row r="1" spans="1:39" ht="14.25" customHeight="1"/>
    <row r="2" spans="1:39" ht="14.25" customHeight="1"/>
    <row r="3" spans="1:39" ht="14.25" customHeight="1"/>
    <row r="4" spans="1:39" ht="19.5" customHeight="1">
      <c r="D4" s="1">
        <v>0</v>
      </c>
      <c r="E4" s="2">
        <f>D5+D4</f>
        <v>45930</v>
      </c>
      <c r="F4" s="3"/>
      <c r="G4" s="30">
        <f>G5</f>
        <v>45930</v>
      </c>
      <c r="H4" s="31"/>
      <c r="I4" s="31"/>
      <c r="J4" s="31"/>
      <c r="K4" s="32"/>
      <c r="L4" s="30">
        <f>L5</f>
        <v>45935</v>
      </c>
      <c r="M4" s="31"/>
      <c r="N4" s="31"/>
      <c r="O4" s="31"/>
      <c r="P4" s="31"/>
      <c r="Q4" s="31"/>
      <c r="R4" s="32"/>
      <c r="S4" s="30">
        <f>S5</f>
        <v>45942</v>
      </c>
      <c r="T4" s="31"/>
      <c r="U4" s="31"/>
      <c r="V4" s="31"/>
      <c r="W4" s="31"/>
      <c r="X4" s="31"/>
      <c r="Y4" s="32"/>
      <c r="Z4" s="30">
        <f>Z5</f>
        <v>45949</v>
      </c>
      <c r="AA4" s="31"/>
      <c r="AB4" s="31"/>
      <c r="AC4" s="31"/>
      <c r="AD4" s="31"/>
      <c r="AE4" s="31"/>
      <c r="AF4" s="32"/>
      <c r="AG4" s="33">
        <f>AG5</f>
        <v>45956</v>
      </c>
      <c r="AH4" s="31"/>
      <c r="AI4" s="31"/>
      <c r="AJ4" s="31"/>
      <c r="AK4" s="31"/>
      <c r="AL4" s="31"/>
      <c r="AM4" s="32"/>
    </row>
    <row r="5" spans="1:39" ht="14.25" customHeight="1">
      <c r="B5" s="5"/>
      <c r="C5" s="6" t="s">
        <v>1</v>
      </c>
      <c r="D5" s="35">
        <f>DATE(2025,10,1)+$D$4-1</f>
        <v>45930</v>
      </c>
      <c r="E5" s="36"/>
      <c r="F5" s="7"/>
      <c r="G5" s="8">
        <f>D5</f>
        <v>45930</v>
      </c>
      <c r="H5" s="9">
        <f t="shared" ref="H5:AM5" si="0">G5+1</f>
        <v>45931</v>
      </c>
      <c r="I5" s="9">
        <f t="shared" si="0"/>
        <v>45932</v>
      </c>
      <c r="J5" s="9">
        <f t="shared" si="0"/>
        <v>45933</v>
      </c>
      <c r="K5" s="10">
        <f t="shared" si="0"/>
        <v>45934</v>
      </c>
      <c r="L5" s="8">
        <f t="shared" si="0"/>
        <v>45935</v>
      </c>
      <c r="M5" s="9">
        <f t="shared" si="0"/>
        <v>45936</v>
      </c>
      <c r="N5" s="9">
        <f t="shared" si="0"/>
        <v>45937</v>
      </c>
      <c r="O5" s="9">
        <f t="shared" si="0"/>
        <v>45938</v>
      </c>
      <c r="P5" s="9">
        <f t="shared" si="0"/>
        <v>45939</v>
      </c>
      <c r="Q5" s="9">
        <f t="shared" si="0"/>
        <v>45940</v>
      </c>
      <c r="R5" s="10">
        <f t="shared" si="0"/>
        <v>45941</v>
      </c>
      <c r="S5" s="8">
        <f t="shared" si="0"/>
        <v>45942</v>
      </c>
      <c r="T5" s="9">
        <f t="shared" si="0"/>
        <v>45943</v>
      </c>
      <c r="U5" s="9">
        <f t="shared" si="0"/>
        <v>45944</v>
      </c>
      <c r="V5" s="9">
        <f t="shared" si="0"/>
        <v>45945</v>
      </c>
      <c r="W5" s="9">
        <f t="shared" si="0"/>
        <v>45946</v>
      </c>
      <c r="X5" s="9">
        <f t="shared" si="0"/>
        <v>45947</v>
      </c>
      <c r="Y5" s="10">
        <f t="shared" si="0"/>
        <v>45948</v>
      </c>
      <c r="Z5" s="8">
        <f t="shared" si="0"/>
        <v>45949</v>
      </c>
      <c r="AA5" s="9">
        <f t="shared" si="0"/>
        <v>45950</v>
      </c>
      <c r="AB5" s="9">
        <f t="shared" si="0"/>
        <v>45951</v>
      </c>
      <c r="AC5" s="9">
        <f t="shared" si="0"/>
        <v>45952</v>
      </c>
      <c r="AD5" s="9">
        <f t="shared" si="0"/>
        <v>45953</v>
      </c>
      <c r="AE5" s="9">
        <f t="shared" si="0"/>
        <v>45954</v>
      </c>
      <c r="AF5" s="10">
        <f t="shared" si="0"/>
        <v>45955</v>
      </c>
      <c r="AG5" s="9">
        <f t="shared" si="0"/>
        <v>45956</v>
      </c>
      <c r="AH5" s="9">
        <f t="shared" si="0"/>
        <v>45957</v>
      </c>
      <c r="AI5" s="9">
        <f t="shared" si="0"/>
        <v>45958</v>
      </c>
      <c r="AJ5" s="9">
        <f t="shared" si="0"/>
        <v>45959</v>
      </c>
      <c r="AK5" s="9">
        <f t="shared" si="0"/>
        <v>45960</v>
      </c>
      <c r="AL5" s="9">
        <f t="shared" si="0"/>
        <v>45961</v>
      </c>
      <c r="AM5" s="10">
        <f t="shared" si="0"/>
        <v>45962</v>
      </c>
    </row>
    <row r="6" spans="1:39" ht="19.5" customHeight="1">
      <c r="A6" s="12" t="s">
        <v>3</v>
      </c>
      <c r="B6" s="12" t="s">
        <v>4</v>
      </c>
      <c r="C6" s="12" t="s">
        <v>5</v>
      </c>
      <c r="D6" s="12" t="s">
        <v>6</v>
      </c>
      <c r="E6" s="12" t="s">
        <v>7</v>
      </c>
      <c r="F6" s="13"/>
      <c r="G6" s="14" t="str">
        <f t="shared" ref="G6:AM6" si="1">UPPER(LEFT(TEXT(G5,"ddd"),1))</f>
        <v>M</v>
      </c>
      <c r="H6" s="14" t="str">
        <f t="shared" si="1"/>
        <v>M</v>
      </c>
      <c r="I6" s="14" t="str">
        <f t="shared" si="1"/>
        <v>J</v>
      </c>
      <c r="J6" s="14" t="str">
        <f t="shared" si="1"/>
        <v>V</v>
      </c>
      <c r="K6" s="14" t="str">
        <f t="shared" si="1"/>
        <v>S</v>
      </c>
      <c r="L6" s="14" t="str">
        <f t="shared" si="1"/>
        <v>D</v>
      </c>
      <c r="M6" s="14" t="str">
        <f t="shared" si="1"/>
        <v>L</v>
      </c>
      <c r="N6" s="14" t="str">
        <f t="shared" si="1"/>
        <v>M</v>
      </c>
      <c r="O6" s="14" t="str">
        <f t="shared" si="1"/>
        <v>M</v>
      </c>
      <c r="P6" s="14" t="str">
        <f t="shared" si="1"/>
        <v>J</v>
      </c>
      <c r="Q6" s="14" t="str">
        <f t="shared" si="1"/>
        <v>V</v>
      </c>
      <c r="R6" s="14" t="str">
        <f t="shared" si="1"/>
        <v>S</v>
      </c>
      <c r="S6" s="14" t="str">
        <f t="shared" si="1"/>
        <v>D</v>
      </c>
      <c r="T6" s="14" t="str">
        <f t="shared" si="1"/>
        <v>L</v>
      </c>
      <c r="U6" s="14" t="str">
        <f t="shared" si="1"/>
        <v>M</v>
      </c>
      <c r="V6" s="14" t="str">
        <f t="shared" si="1"/>
        <v>M</v>
      </c>
      <c r="W6" s="14" t="str">
        <f t="shared" si="1"/>
        <v>J</v>
      </c>
      <c r="X6" s="14" t="str">
        <f t="shared" si="1"/>
        <v>V</v>
      </c>
      <c r="Y6" s="14" t="str">
        <f t="shared" si="1"/>
        <v>S</v>
      </c>
      <c r="Z6" s="14" t="str">
        <f t="shared" si="1"/>
        <v>D</v>
      </c>
      <c r="AA6" s="14" t="str">
        <f t="shared" si="1"/>
        <v>L</v>
      </c>
      <c r="AB6" s="14" t="str">
        <f t="shared" si="1"/>
        <v>M</v>
      </c>
      <c r="AC6" s="14" t="str">
        <f t="shared" si="1"/>
        <v>M</v>
      </c>
      <c r="AD6" s="14" t="str">
        <f t="shared" si="1"/>
        <v>J</v>
      </c>
      <c r="AE6" s="14" t="str">
        <f t="shared" si="1"/>
        <v>V</v>
      </c>
      <c r="AF6" s="14" t="str">
        <f t="shared" si="1"/>
        <v>S</v>
      </c>
      <c r="AG6" s="14" t="str">
        <f t="shared" si="1"/>
        <v>D</v>
      </c>
      <c r="AH6" s="14" t="str">
        <f t="shared" si="1"/>
        <v>L</v>
      </c>
      <c r="AI6" s="14" t="str">
        <f t="shared" si="1"/>
        <v>M</v>
      </c>
      <c r="AJ6" s="14" t="str">
        <f t="shared" si="1"/>
        <v>M</v>
      </c>
      <c r="AK6" s="14" t="str">
        <f t="shared" si="1"/>
        <v>J</v>
      </c>
      <c r="AL6" s="14" t="str">
        <f t="shared" si="1"/>
        <v>V</v>
      </c>
      <c r="AM6" s="14" t="str">
        <f t="shared" si="1"/>
        <v>S</v>
      </c>
    </row>
    <row r="7" spans="1:39" ht="14.25" customHeight="1">
      <c r="A7" s="16" t="s">
        <v>8</v>
      </c>
      <c r="B7" s="17"/>
      <c r="C7" s="18"/>
      <c r="D7" s="19"/>
      <c r="E7" s="19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ht="14.25" customHeight="1">
      <c r="A8" s="17" t="s">
        <v>9</v>
      </c>
      <c r="B8" s="17" t="s">
        <v>10</v>
      </c>
      <c r="C8" s="18">
        <v>0.9</v>
      </c>
      <c r="D8" s="19">
        <v>45930</v>
      </c>
      <c r="E8" s="19">
        <v>45943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 ht="14.25" customHeight="1">
      <c r="A9" s="17" t="s">
        <v>11</v>
      </c>
      <c r="B9" s="17" t="s">
        <v>12</v>
      </c>
      <c r="C9" s="18">
        <v>1</v>
      </c>
      <c r="D9" s="19">
        <v>45930</v>
      </c>
      <c r="E9" s="19">
        <v>45942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39" ht="14.25" customHeight="1">
      <c r="A10" s="17" t="s">
        <v>13</v>
      </c>
      <c r="B10" s="17" t="s">
        <v>14</v>
      </c>
      <c r="C10" s="18">
        <v>1</v>
      </c>
      <c r="D10" s="19">
        <v>45930</v>
      </c>
      <c r="E10" s="19">
        <v>45942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39" ht="14.25" customHeight="1">
      <c r="A11" s="17" t="s">
        <v>15</v>
      </c>
      <c r="B11" s="17" t="s">
        <v>16</v>
      </c>
      <c r="C11" s="18">
        <v>1</v>
      </c>
      <c r="D11" s="19">
        <v>45930</v>
      </c>
      <c r="E11" s="19">
        <v>45943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14.25" customHeight="1">
      <c r="A12" s="17" t="s">
        <v>17</v>
      </c>
      <c r="B12" s="17" t="s">
        <v>12</v>
      </c>
      <c r="C12" s="18">
        <v>1</v>
      </c>
      <c r="D12" s="19">
        <v>45930</v>
      </c>
      <c r="E12" s="19">
        <v>45947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ht="14.25" customHeight="1">
      <c r="A13" s="17" t="s">
        <v>18</v>
      </c>
      <c r="B13" s="17" t="s">
        <v>14</v>
      </c>
      <c r="C13" s="18">
        <v>1</v>
      </c>
      <c r="D13" s="19">
        <v>45930</v>
      </c>
      <c r="E13" s="19">
        <v>45935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14.25" customHeight="1">
      <c r="A14" s="17" t="s">
        <v>19</v>
      </c>
      <c r="B14" s="17" t="s">
        <v>14</v>
      </c>
      <c r="C14" s="18">
        <v>1</v>
      </c>
      <c r="D14" s="19">
        <v>45930</v>
      </c>
      <c r="E14" s="19">
        <v>45947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14.25" customHeight="1">
      <c r="A15" s="17" t="s">
        <v>20</v>
      </c>
      <c r="B15" s="17" t="s">
        <v>10</v>
      </c>
      <c r="C15" s="18">
        <v>1</v>
      </c>
      <c r="D15" s="19">
        <v>45930</v>
      </c>
      <c r="E15" s="19">
        <v>45946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14.25" customHeight="1">
      <c r="A16" s="17" t="s">
        <v>21</v>
      </c>
      <c r="B16" s="17" t="s">
        <v>12</v>
      </c>
      <c r="C16" s="18">
        <v>1</v>
      </c>
      <c r="D16" s="19">
        <v>45930</v>
      </c>
      <c r="E16" s="19">
        <v>45945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14.25" customHeight="1">
      <c r="A17" s="17" t="s">
        <v>22</v>
      </c>
      <c r="B17" s="17" t="s">
        <v>14</v>
      </c>
      <c r="C17" s="18">
        <v>1</v>
      </c>
      <c r="D17" s="19">
        <v>45930</v>
      </c>
      <c r="E17" s="19">
        <v>45947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14.25" customHeight="1">
      <c r="A18" s="16" t="s">
        <v>23</v>
      </c>
      <c r="B18" s="17"/>
      <c r="C18" s="18"/>
      <c r="D18" s="19"/>
      <c r="E18" s="19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14.25" customHeight="1">
      <c r="A19" s="17" t="s">
        <v>24</v>
      </c>
      <c r="B19" s="17" t="s">
        <v>10</v>
      </c>
      <c r="C19" s="18">
        <v>1</v>
      </c>
      <c r="D19" s="19">
        <v>45930</v>
      </c>
      <c r="E19" s="19">
        <v>45947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14.25" customHeight="1">
      <c r="A20" s="17" t="s">
        <v>25</v>
      </c>
      <c r="B20" s="17" t="s">
        <v>16</v>
      </c>
      <c r="C20" s="18">
        <v>1</v>
      </c>
      <c r="D20" s="19">
        <v>45930</v>
      </c>
      <c r="E20" s="19">
        <v>45939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14.25" customHeight="1">
      <c r="A21" s="17" t="s">
        <v>26</v>
      </c>
      <c r="B21" s="17" t="s">
        <v>12</v>
      </c>
      <c r="C21" s="18">
        <v>1</v>
      </c>
      <c r="D21" s="19">
        <v>45930</v>
      </c>
      <c r="E21" s="19">
        <v>45935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ht="14.25" customHeight="1">
      <c r="A22" s="17" t="s">
        <v>27</v>
      </c>
      <c r="B22" s="17" t="s">
        <v>14</v>
      </c>
      <c r="C22" s="18">
        <v>1</v>
      </c>
      <c r="D22" s="19">
        <v>45930</v>
      </c>
      <c r="E22" s="19">
        <v>45934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ht="14.25" customHeight="1">
      <c r="A23" s="23"/>
      <c r="B23" s="23"/>
      <c r="C23" s="24"/>
      <c r="D23" s="25"/>
      <c r="E23" s="25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</row>
    <row r="24" spans="1:39" ht="14.25" customHeight="1">
      <c r="A24" s="26"/>
      <c r="D24" s="27"/>
      <c r="E24" s="28"/>
    </row>
    <row r="25" spans="1:39" ht="14.25" customHeight="1">
      <c r="D25" s="28"/>
      <c r="E25" s="28"/>
    </row>
    <row r="26" spans="1:39" ht="14.25" customHeight="1"/>
    <row r="27" spans="1:39" ht="14.25" customHeight="1"/>
    <row r="28" spans="1:39" ht="14.25" customHeight="1"/>
    <row r="29" spans="1:39" ht="14.25" customHeight="1"/>
    <row r="30" spans="1:39" ht="14.25" customHeight="1"/>
    <row r="31" spans="1:39" ht="14.25" customHeight="1"/>
    <row r="32" spans="1:39" ht="14.25" customHeight="1">
      <c r="D32" s="29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D5:E5"/>
    <mergeCell ref="G4:K4"/>
    <mergeCell ref="L4:R4"/>
    <mergeCell ref="S4:Y4"/>
    <mergeCell ref="Z4:AF4"/>
    <mergeCell ref="AG4:AM4"/>
  </mergeCells>
  <conditionalFormatting sqref="G7:AM23">
    <cfRule type="expression" dxfId="1" priority="1">
      <formula>AND(G$5&gt;=$D7,G$5&lt;=((($E7-$D7+1)*$C7)+$D7-1))</formula>
    </cfRule>
    <cfRule type="expression" dxfId="0" priority="2">
      <formula>AND(G$5&gt;=$D7,G$5&lt;=$E7)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Trimestre 1</vt:lpstr>
      <vt:lpstr>Trimestre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cardenas</dc:creator>
  <cp:lastModifiedBy>santiago cardenas</cp:lastModifiedBy>
  <dcterms:created xsi:type="dcterms:W3CDTF">2025-11-12T21:35:49Z</dcterms:created>
  <dcterms:modified xsi:type="dcterms:W3CDTF">2026-03-02T21:14:17Z</dcterms:modified>
</cp:coreProperties>
</file>