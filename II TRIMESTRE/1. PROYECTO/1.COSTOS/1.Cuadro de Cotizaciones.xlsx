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DiscoSolido Admin" sheetId="3" r:id="rId6"/>
    <sheet state="visible" name="Disco duro interno Admin" sheetId="4" r:id="rId7"/>
    <sheet state="visible" name="Servidor Admin" sheetId="5" r:id="rId8"/>
    <sheet state="visible" name="ram Admin" sheetId="6" r:id="rId9"/>
    <sheet state="visible" name="Teclado Admin" sheetId="7" r:id="rId10"/>
    <sheet state="visible" name="Mause Admin" sheetId="8" r:id="rId11"/>
    <sheet state="visible" name="Portatil Nosotros" sheetId="9" r:id="rId12"/>
    <sheet state="visible" name="Monitor Nosotros" sheetId="10" r:id="rId13"/>
    <sheet state="visible" name=" Disco mecanico Nosotros" sheetId="11" r:id="rId14"/>
    <sheet state="visible" name=" Servidor Nosotros" sheetId="12" r:id="rId15"/>
    <sheet state="visible" name=" ram nosotros" sheetId="13" r:id="rId16"/>
    <sheet state="visible" name="Tarjeta de video nosotros" sheetId="14" r:id="rId17"/>
    <sheet state="visible" name="Procesador Nosotros" sheetId="15" r:id="rId18"/>
    <sheet state="visible" name="Teclado nosostros " sheetId="16" r:id="rId19"/>
    <sheet state="visible" name="Muse nosotros" sheetId="17" r:id="rId20"/>
    <sheet state="visible" name="software licencia" sheetId="18" r:id="rId21"/>
    <sheet state="visible" name="licencia visual" sheetId="19" r:id="rId22"/>
    <sheet state="visible" name="windows 11 licencia" sheetId="20" r:id="rId23"/>
    <sheet state="visible" name="licencia SQL" sheetId="21" r:id="rId24"/>
  </sheets>
  <definedNames/>
  <calcPr/>
  <extLst>
    <ext uri="GoogleSheetsCustomDataVersion2">
      <go:sheetsCustomData xmlns:go="http://customooxmlschemas.google.com/" r:id="rId25" roundtripDataChecksum="29Wk2coJQmnMZj1k3Xiz/b2jSpDG9uB7NWV0I0rY08M="/>
    </ext>
  </extLst>
</workbook>
</file>

<file path=xl/sharedStrings.xml><?xml version="1.0" encoding="utf-8"?>
<sst xmlns="http://schemas.openxmlformats.org/spreadsheetml/2006/main" count="665" uniqueCount="422">
  <si>
    <t xml:space="preserve">  </t>
  </si>
  <si>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</si>
  <si>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</si>
  <si>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</si>
  <si>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</si>
  <si>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</si>
  <si>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</si>
  <si>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</si>
  <si>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</si>
  <si>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</si>
  <si>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</si>
  <si>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</si>
  <si>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</si>
  <si>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</si>
  <si>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MERCADO LIBRE </t>
  </si>
  <si>
    <t>https://articulo.mercadolibre.com.co/MCO-TORREADMIN-i3</t>
  </si>
  <si>
    <t>Torre Admin Intel Core i3 10ma Gen / 8GB RAM / 240GB SSD / Windows 11 Home</t>
  </si>
  <si>
    <t>CONTADO</t>
  </si>
  <si>
    <t>Equipo de bajo consumo, ideal para oficina o punto de venta.</t>
  </si>
  <si>
    <t xml:space="preserve">Nº2 </t>
  </si>
  <si>
    <t xml:space="preserve">PC WARE </t>
  </si>
  <si>
    <t>https://www.pcware.com.co/torre-admin-ryzen3</t>
  </si>
  <si>
    <t>Torre Admin AMD Ryzen 3 / 8GB RAM / 500GB HDD / Windows 10 Pro</t>
  </si>
  <si>
    <t>Opción económica con buena velocidad para software administrativo.</t>
  </si>
  <si>
    <t>Nº 3</t>
  </si>
  <si>
    <t xml:space="preserve">POWER DEAL </t>
  </si>
  <si>
    <t>https://powerdeal.com.co/products/torre-admin-pentiumgold</t>
  </si>
  <si>
    <t>Torre Admin Intel Pentium Gold / 8GB RAM / 240GB SSD / Windows 11</t>
  </si>
  <si>
    <t>Torre compacta, silenciosa y eficiente para tareas básicas de oficina.</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</si>
  <si>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</si>
  <si>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</si>
  <si>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</si>
  <si>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</si>
  <si>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</si>
  <si>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</si>
  <si>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</si>
  <si>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</si>
  <si>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</si>
  <si>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</si>
  <si>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Mercado libre</t>
  </si>
  <si>
    <t>https://www.mercadolibre.com.co/monitor-curvo-27-fhd-diseno-sin-bordes-color-black-100v240v/p/MCO17431651?pdp_filters=category%3AMCO1656&amp;quantity=3</t>
  </si>
  <si>
    <t>Monitor Curvo 27 Fhd Diseño Sin Bordes Color Black 100V/240V</t>
  </si>
  <si>
    <t>Tiene una resolución de 1920px-1080px.</t>
  </si>
  <si>
    <t xml:space="preserve">ALKOSTO </t>
  </si>
  <si>
    <t>https://www.alkosto.com/monitor-samsung-gamer-24-pulgadas-g320nl-plano-negro/p/8806094113846</t>
  </si>
  <si>
    <t>Monitor Samsung Gamer 24" pulgadas G320NL Plano Negro</t>
  </si>
  <si>
    <t>Stand ergonómico con ajuste en altura, inclinación y pivote</t>
  </si>
  <si>
    <t>https://www.alkosto.com/monitor-samsung-32-pulgadas-cm500-smart-display-negro/p/8806095020167</t>
  </si>
  <si>
    <t>Monitor SAMSUNG 32" Pulgadas CM500 Smart Display Negro</t>
  </si>
  <si>
    <t>Pantalla FHD, Gran nitidez, calidad de imagen y contraste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</si>
  <si>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</si>
  <si>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</si>
  <si>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</si>
  <si>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</si>
  <si>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</si>
  <si>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</si>
  <si>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</si>
  <si>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</si>
  <si>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</si>
  <si>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</si>
  <si>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https://www.mercadolibre.com.co/disco-solido-ssd-interno-crucial-ct500bx500ssd1-500gb-negro/p/MCO19614825?pdp_filters=category:MCO1672#searchVariation=MCO19614825&amp;position=2&amp;search_layout=stack&amp;type=product&amp;tracking_id=aa8e5d63-5d99-467d-8939-e0e1b492ed9b</t>
  </si>
  <si>
    <t>Disco sólido SSD interno Crucial CT500BX500SSD1 500GB negro</t>
  </si>
  <si>
    <t xml:space="preserve">CONTADO </t>
  </si>
  <si>
    <t>Útil para guardar programas y documentos con su capacidad de 500 GB.</t>
  </si>
  <si>
    <t xml:space="preserve">FALABELLA </t>
  </si>
  <si>
    <t>https://www.falabella.com.co/falabella-co/product/118315377/Unidad-Estado-Solido-SSD-Interno-Adata-XPG-S40G-1TB/118315378</t>
  </si>
  <si>
    <t>Unidad Estado Solido SSD Interno Adata XPG S40G 1TB</t>
  </si>
  <si>
    <t>Con velocidades de lectura y escritura sostenidas de hasta 3500/3000 MB por segundo, iluminación RGB personalizable y una gran cantidad de características que mejoran el rendimiento</t>
  </si>
  <si>
    <t>HI TECH</t>
  </si>
  <si>
    <t>152 #96-90 Suba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</si>
  <si>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</si>
  <si>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</si>
  <si>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</si>
  <si>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</si>
  <si>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</si>
  <si>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</si>
  <si>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</si>
  <si>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</si>
  <si>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</si>
  <si>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</si>
  <si>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´MERCADO LIBRE </t>
  </si>
  <si>
    <t>https://www.mercadolibre.com.co/disco-solido-ssd-interno-kingston-sa400s37240gb-negro/p/MCO19035706?pdp_filters=category:MCO1672#searchVariation=MCO19035706&amp;position=7&amp;search_layout=stack&amp;type=product&amp;tracking_id=d2347602-d832-46e2-b62a-c4c325617137</t>
  </si>
  <si>
    <t>Disco sólido SSD interno Kingston SA400S37/240GB Negro</t>
  </si>
  <si>
    <t>El Kingston A400 SA400S37/240G 240 GB ofrece una transferencia de datos de 550 MB/s en lectura y 490 MB/s en escritura, para un rendimiento óptimo.</t>
  </si>
  <si>
    <t xml:space="preserve">KTRONIX </t>
  </si>
  <si>
    <t>https://www.ktronix.com/disco-duro-toshiba-basic-2tb/p/723844001346</t>
  </si>
  <si>
    <t>Disco Duro TOSHIBA Basic 2TB</t>
  </si>
  <si>
    <t>Systestore</t>
  </si>
  <si>
    <t>(314) 251 26 38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</si>
  <si>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</si>
  <si>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</si>
  <si>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</si>
  <si>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</si>
  <si>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</si>
  <si>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</si>
  <si>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</si>
  <si>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</si>
  <si>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</si>
  <si>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</si>
  <si>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Mercado libre </t>
  </si>
  <si>
    <t>https://www.mercadolibre.com.co/servidor-rack-marca-ciara-intel-xeon-e3-1260l-16gb-1tb/up/MCOU2403468563#polycard_client=search-nordic&amp;search_layout=stack&amp;position=4&amp;type=product&amp;tracking_id=4fc7c903-2203-44d9-aebc-ba122640b93a&amp;wid=MCO1318922175&amp;sid=search</t>
  </si>
  <si>
    <t xml:space="preserve">Servidor Rack Marca Ciara Intel Xeon E3 1260l 16gb 1tb 32 Gb </t>
  </si>
  <si>
    <t>https://www.mercadolibre.com.co/servidor-lenovo-ts440-intel-xeon-e3-1226-v3-ram-32gb-1tb-ssd/up/MCOU2996417764#polycard_client=search-nordic&amp;search_layout=stack&amp;position=17&amp;type=product&amp;tracking_id=829c51ba-fcda-4fae-8e77-239ccea5cbc7&amp;wid=MCO1536679709&amp;sid=search</t>
  </si>
  <si>
    <t xml:space="preserve">Servidor Lenovo Ts440 Intel Xeon E3 1226 V3 Ram 32gb 1tb Ssd 32 Gb 
</t>
  </si>
  <si>
    <t>https://www.mercadolibre.com.co/servidor-lenovo-rd540/up/MCOU3084861577#polycard_client=search-nordic&amp;search_layout=stack&amp;position=20&amp;type=product&amp;tracking_id=cf954a9d-0789-4596-bf49-681203aabf7d&amp;wid=MCO1560445859&amp;sid=search</t>
  </si>
  <si>
    <t xml:space="preserve">Servidor Lenovo Rd540 - 16 Gb 1 tb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</si>
  <si>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</si>
  <si>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</si>
  <si>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</si>
  <si>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</si>
  <si>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</si>
  <si>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</si>
  <si>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</si>
  <si>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</si>
  <si>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</si>
  <si>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</si>
  <si>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Speed logic</t>
  </si>
  <si>
    <t>https://speedlogic.com.co/tienda/memorias-ram/memoria-ram-ddr4-16g-3200-cors</t>
  </si>
  <si>
    <t>MEMORIA RAM DDR4 16G 3200 CORSAIR VENGEANCE RGB RS</t>
  </si>
  <si>
    <t>La memoria DDR4 CORSAIR VENGEANCE RGB RS realza la estética de su PC gracias a su iluminación RGB dinámica y direccionable individualmente</t>
  </si>
  <si>
    <t>Mercado Libre</t>
  </si>
  <si>
    <t>https://listado.mercadolibre.com.co/memoria-ddr4-16gb</t>
  </si>
  <si>
    <t>Memoria RAM Premier color verde 16GB 1 Adata AD4S320016G22-SGN</t>
  </si>
  <si>
    <t>Cuenta con una tasa de transferencia de 25600 MB/s.</t>
  </si>
  <si>
    <t>Tecnostock</t>
  </si>
  <si>
    <t>https://tecnostock.com.co/products/crucial-laptop-ddr4-3200-mhz-sodimm-memory-module?variant=46808587370781&amp;currency=COP&amp;utm_medium=product_sync&amp;utm_source=google&amp;utm_content=sag_organic&amp;utm_campaign=sag_organic&amp;srsltid=AfmBOoqET5a1tgCjO-30b6IPBqHaFs9VneMJjDgoKfxpm8XhSgHhZF9ABDc</t>
  </si>
  <si>
    <t>Crucial Laptop DDR4 3200 MHz SODIMM Memory Module</t>
  </si>
  <si>
    <t>Velocidad de reloj de 3200 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</si>
  <si>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</si>
  <si>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</si>
  <si>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</si>
  <si>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</si>
  <si>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</si>
  <si>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</si>
  <si>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</si>
  <si>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</si>
  <si>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</si>
  <si>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</si>
  <si>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Ktronix </t>
  </si>
  <si>
    <t>https://www.ktronix.com/teclado-logitech-k120-usb/p</t>
  </si>
  <si>
    <t>Teclado Logitech K120 Alámbrico USB – resistente a derrames</t>
  </si>
  <si>
    <t>Modelo confiable, silencioso y económico para oficina.</t>
  </si>
  <si>
    <t>Éxito</t>
  </si>
  <si>
    <t>https://www.exito.com/teclado-gamer-redragon-karura-k502/p</t>
  </si>
  <si>
    <t>Teclado Redragon Karura K502 RGB – retroiluminado, silencioso</t>
  </si>
  <si>
    <t>Ideal para puestos administrativos con uso intensivo.</t>
  </si>
  <si>
    <t>Alkosto</t>
  </si>
  <si>
    <t>http://alkosto.com/combo-hp-alambrico-teclado-mouse-150-negro/p/195122875534?utm_source=chatgpt.com</t>
  </si>
  <si>
    <t>Combo HP Alámbrico Teclado + Mouse 150 Negro</t>
  </si>
  <si>
    <t>Teclado y Mouse Alámbrico HP 150. Conexión fácil, diseño delgado y ergonómico en el teclado, gran precisión con 1600DPI en el mouse, y las funciones de teclas necesarias para mantener tu productividad a tope, teclas con diseño chiclet más delgado, que producen menos ruido sin sacrificar la comodidad y confiabilidad</t>
  </si>
  <si>
    <t>Calle 12 # 34 - 30,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</si>
  <si>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</si>
  <si>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</si>
  <si>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</si>
  <si>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</si>
  <si>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</si>
  <si>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</si>
  <si>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</si>
  <si>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</si>
  <si>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</si>
  <si>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</si>
  <si>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Alkosto </t>
  </si>
  <si>
    <t>https://www.alkosto.com/mouse-logitech-b100-usb/p</t>
  </si>
  <si>
    <t>Mouse Logitech B100 Alámbrico USB – diseño ergonómico básico</t>
  </si>
  <si>
    <t>Panamericana</t>
  </si>
  <si>
    <t>https://www.panamericana.com.co/mouse-hp-150-usb/p</t>
  </si>
  <si>
    <t>Mouse HP 150 Alámbrico USB – 1200 DPI, diseño simétrico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</si>
  <si>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</si>
  <si>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</si>
  <si>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</si>
  <si>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</si>
  <si>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</si>
  <si>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</si>
  <si>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</si>
  <si>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</si>
  <si>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</si>
  <si>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</si>
  <si>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Éxito </t>
  </si>
  <si>
    <t>https://www.exito.com/portatil-hp-15-fc0002la-ryzen3/p</t>
  </si>
  <si>
    <t>Portátil HP 15-fc0002la – Ryzen 3, 8GB RAM, 512GB SSD, 15.6" FHD</t>
  </si>
  <si>
    <t>Buen rendimiento general, ideal para tareas administrativas.</t>
  </si>
  <si>
    <t>https://www.alkosto.com/portatil-lenovo-ideapad-3-ryzen5/p</t>
  </si>
  <si>
    <t>Portátil Lenovo IdeaPad 3 – Ryzen 5, 12GB RAM, 512GB SSD</t>
  </si>
  <si>
    <t>Excelente relación calidad/precio, rápido y eficiente.</t>
  </si>
  <si>
    <t xml:space="preserve">Panamericana </t>
  </si>
  <si>
    <t>https://www.panamericana.com.co/portatil-asus-vivobook-i5/p</t>
  </si>
  <si>
    <t>Portátil ASUS VivoBook 15 – Intel i5, 8GB RAM, 512GB SSD</t>
  </si>
  <si>
    <t>Elegante, liviano y potente para trabajo continuo.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</si>
  <si>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</si>
  <si>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</si>
  <si>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</si>
  <si>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</si>
  <si>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</si>
  <si>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</si>
  <si>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</si>
  <si>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</si>
  <si>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</si>
  <si>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</si>
  <si>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https://www.alkosto.com/monitor-lg-22-pulgadas-22mr410-fhd-plano-negro/p/8806084644749</t>
  </si>
  <si>
    <t xml:space="preserve">Monitor LG 22" Pulgadas 22MR410 FHD Plano Negro
</t>
  </si>
  <si>
    <t>Colores vibrantes, imágenes nítidas y fluidez en una pantalla de 22" Disfruta de acción sin interrupciones con 100Hz y juegos fluidos con tecnología AMD FreeSync</t>
  </si>
  <si>
    <t>https://www.falabella.com.co/falabella-co/product/143998999/Monitor-Samsung-LS22D310-22-Plano-FHD-Negro-75Hz/143999000</t>
  </si>
  <si>
    <t>Monitor Samsung LS22D310 22 Plano FHD Negro 75Hz</t>
  </si>
  <si>
    <t xml:space="preserve">Experimenta imágenes claras y precisas con un ángulo de visión distintivo de 178° de ancho, que ofrece un brillo uniforme para documentos y gráficos desde múltiples ángulos.
</t>
  </si>
  <si>
    <t>https://www.mercadolibre.com.co/monitor-aoc-22b2hm2-22-pulgadas-full-hd-va-100hz-adapti-sync-color-negro/p/MCO45724339#polycard_client=search-nordic&amp;search_layout=stack&amp;position=4&amp;type=product&amp;tracking_id=5e9d59a9-255a-4efd-88b0-810d5547d109&amp;wid=MCO2888623430&amp;sid=search</t>
  </si>
  <si>
    <t xml:space="preserve">Monitor AOC 22b2hm2 22 Pulgadas Full Hd Va 100hz Adapti Sync Color Negro
</t>
  </si>
  <si>
    <t xml:space="preserve">Resolución Full HD de 1920 x 1080 píxeles, ideal para imágenes nítidas y detalladas.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</si>
  <si>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</si>
  <si>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</si>
  <si>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</si>
  <si>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</si>
  <si>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</si>
  <si>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</si>
  <si>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</si>
  <si>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</si>
  <si>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</si>
  <si>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</si>
  <si>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</si>
  <si>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SPEED LOGIC </t>
  </si>
  <si>
    <t>https://speedlogic.com.co/tienda/unidades-ssd/m-2-nvme/unidad-de-estado-solido-ssd-m2-nvme-512gb-patriot-p320-3000-x-2200/</t>
  </si>
  <si>
    <t xml:space="preserve">Unidad De Estado Solido Ssd (M2) Nvme 512gb Patriot P320 3000 X 2200
</t>
  </si>
  <si>
    <t>Es una solución de almacenamiento de alto rendimiento diseñada para mejorar la velocidad y la capacidad de respuesta de su computadora.</t>
  </si>
  <si>
    <t>CLONES Y PERIFERICOS</t>
  </si>
  <si>
    <t>https://clonesyperifericos.com/comprar/ssd-adata-ultimate-su650-512gb-2-5/</t>
  </si>
  <si>
    <t xml:space="preserve">Ssd Adata Ultimate SU650 512GB 2.5
</t>
  </si>
  <si>
    <t xml:space="preserve">Implementa Flash NAND 3D y un controlador de alta velocidad, ofreciendo capacidades de hasta 960 GB. </t>
  </si>
  <si>
    <t>MERCADO LIBRE</t>
  </si>
  <si>
    <t>https://www.mercadolibre.com.co/ssd-adata-legend-700-512gb-m2-2280-pcie-gen3-20001600-mbs/p/MCO20489263#polycard_client=search-nordic&amp;search_layout=stack&amp;position=3&amp;type=product&amp;tracking_id=777d7f0d-b3c0-4d9f-a49c-4400dec63f6d&amp;wid=MCO1573643537&amp;sid=search</t>
  </si>
  <si>
    <t>Ssd Adata Legend 700 512gb M.2 2280 Pcie Gen3 2000/1600 Mb/s</t>
  </si>
  <si>
    <t xml:space="preserve">Más velocidad a tu alcance
Este disco transfiere datos a través de una interfaz PCIe Gen3 x4, lo que te brindará trasmitir una mayor cantidad de información de una sola vez.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</si>
  <si>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</si>
  <si>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</si>
  <si>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</si>
  <si>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</si>
  <si>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</si>
  <si>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</si>
  <si>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</si>
  <si>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</si>
  <si>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</si>
  <si>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</si>
  <si>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AMAZON </t>
  </si>
  <si>
    <t>https://www.amazon.com/ZimaBoard-servidor-Computadora-Almacenamiento-multimedia/dp/B0BKL7YPBQ/ref=sr_1_1_sspa?adgrpid=155794384686&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t>
  </si>
  <si>
    <t>ZimaBoard 832 Router de servidor de una sola placa X86 Computadora de una sola placa Almacenamiento en la red en la nube personal Servidor multimedia 4K Puerta de enlace Gigabit dual - PCIe x4 SATA</t>
  </si>
  <si>
    <t>El primer servidor de placa única x86 hackable del mundo: ZimaBoard es un servidor de placa única de bajo costo diseñado exclusivamente para fabricantes</t>
  </si>
  <si>
    <t>https://articulo.mercadolibre.com.co/MCO-2256411732-servidor-dell-power-edge-t40-intel-xeon-35-ghz-8g-1tb-_JM#position=1&amp;search_layout=stack&amp;type=item&amp;tracking_id=0fd9fb34-0351-4dd5-bffd-e6bf27036d09</t>
  </si>
  <si>
    <t>Servidor Dell Power Edge T40 Intel Xeon 3.5 Ghz 8g 1tb</t>
  </si>
  <si>
    <t>T40Q3FY22COV1</t>
  </si>
  <si>
    <t>https://articulo.mercadolibre.com.co/MCO-1317854809-cpu-dell-optiplex-5090-core-i5-10ma-gen-8gb-512gb-open-box-_JM?variation=#reco_item_pos=0&amp;reco_backend=pads-retrieval-model-odin_marketplace&amp;reco_backend_type=&amp;reco_client=vip-pads-up&amp;reco_id=4ba4c990-688a-4e14-ba09-aa8d43e7531a&amp;is_advertising=true&amp;ad_domain=VIPDESKTOP_UP&amp;ad_position=1&amp;ad_click_id=ZGYxNDliOTItZTMyNC00Y2ViLThhN2ItYWFkYmMzNDY0NTli</t>
  </si>
  <si>
    <t>Cpu Dell Optiplex 5090 Core I5 10ma Gen 8gb 512gb Open Box</t>
  </si>
  <si>
    <t>EQUIPO PERFECTO PARA TRANSMITIR COMO WEBCAM EN 2 O 3 PAGINAS AL MISMO TIEMPO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</si>
  <si>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</si>
  <si>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</si>
  <si>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</si>
  <si>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</si>
  <si>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</si>
  <si>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</si>
  <si>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</si>
  <si>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</si>
  <si>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</si>
  <si>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</si>
  <si>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ram-adata-ddr4-3200mhz-8gb-spectrix-d35g-negra-rgb/p/MCO32947978#polycard_client=search-nordic&amp;search_layout=stack&amp;position=14&amp;type=product&amp;tracking_id=a13a35b1-d6aa-4573-acdc-cd4086a1b00d&amp;wid=MCO1664055077&amp;sid=search</t>
  </si>
  <si>
    <t>Memoria Ram Adata Ddr4 3200mhz 8gb Spectrix</t>
  </si>
  <si>
    <t>¡Optimiza al máximo el rendimiento de tu ordenador y reduce el consumo energético!</t>
  </si>
  <si>
    <t>https://www.mercadolibre.com.co/memoria-ram-timetec-pinnacle-rgb-16gb-ddr4-3200mhz-gamer/p/MCO40536874?pdp_filters=item_id:MCO2722531542#is_advertising=true&amp;searchVariation=MCO40536874&amp;backend_model=search-backend&amp;position=1&amp;search_layout=stack&amp;type=pad&amp;tracking_id=ab7a3ee3-603e-4276-a069-5ca16ba9b8d2&amp;ad_domain=VQCATCORE_LST&amp;ad_position=1&amp;ad_click_id=N2U4YjU4N2YtYjdkMi00MDc3LTg1OTctYjRhYjJlZTM5ZDEz</t>
  </si>
  <si>
    <t>Memoria Ram Timetec Pinnacle Rgb  2x8 16gb Ddr4 3200mhz Gamer</t>
  </si>
  <si>
    <t xml:space="preserve">2 modulos de 8gb haciendo un total de 16gb, DDR4 SDRAM con velocidad de 3.2 GHz que optimiza el rendimiento del sistema.
</t>
  </si>
  <si>
    <t>https://www.mercadolibre.com.co/memoria-ram-kingston-hyperx-fury-8gb-ddr4-3200mhz-hx432c16fb38/p/MCO22100554#polycard_client=search-nordic&amp;search_layout=stack&amp;position=5&amp;type=product&amp;tracking_id=55455934-4bc1-4171-b256-a51fc6f7dbbe&amp;wid=MCO1614310077&amp;sid=search</t>
  </si>
  <si>
    <t xml:space="preserve">Memoria Ram Kingston Hyperx Fury 8gb Ddr4 3200mhz HX432C16FB3/8
</t>
  </si>
  <si>
    <t>Con su tecnología DDR4, mejorará el desempeño de tu equipo, ya que aumentará la fluidez y la velocidad en la transferencia de datos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</si>
  <si>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</si>
  <si>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</si>
  <si>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</si>
  <si>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</si>
  <si>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</si>
  <si>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</si>
  <si>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</si>
  <si>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</si>
  <si>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</si>
  <si>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</si>
  <si>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tarjeta-de-video-nvidia-gigabyte-geforce-700-series-gt-710-2gb/p/MCO17917195#polycard_client=search-nordic&amp;search_layout=stack&amp;position=17&amp;type=product&amp;tracking_id=1ae5b8f5-e8cd-4be0-b22f-5cc71d8fe044&amp;wid=MCO1621807471&amp;sid=search</t>
  </si>
  <si>
    <t>Tarjeta de video Nvidia Gigabyte GeForce 700 Series GT 710 2GB</t>
  </si>
  <si>
    <t xml:space="preserve">Con una velocidad de memoria de 1.6 GHz los datos del procesador central se van a traducir en información comprensible en tan solo un abrir y cerrar de ojos. Esta placa de video trabajará con rapidez para maximizar el tiempo real.
</t>
  </si>
  <si>
    <t>https://www.mercadolibre.com.co/tarjeta-de-video-nvidia-msi-geforce-10-series-gt-1030-oc-edition-2gb/p/MCO15185444#polycard_client=recommendations_pdp-v2p&amp;reco_backend=ranker_retrieval_system_org&amp;reco_model=rk_ent_v3_retsys_org&amp;reco_client=pdp-v2p&amp;reco_item_pos=0&amp;reco_backend_type=low_level&amp;reco_id=0f053842-f847-419b-bd39-dc86c1d67c8f&amp;wid=MCO2992783046&amp;sid=recos</t>
  </si>
  <si>
    <t xml:space="preserve">Tarjeta de video Nvidia MSI GeForce 10 Series GT 1030 OC Edition 2GB
</t>
  </si>
  <si>
    <t xml:space="preserve">Velocidad en cada lectura
Como cuenta con 384 núcleos, los cálculos para el procesamiento de gráficos se realizarán de forma simultánea logrando un resultado óptimo del trabajo de la placa. Esto le permitirá ejecutar lecturas dispersas y rápidas de y hacia la GPU.
</t>
  </si>
  <si>
    <t>FALABELLA</t>
  </si>
  <si>
    <t>https://www.falabella.com.co/falabella-co/product/145078221/Tarjeta-Grafica-Nvidea-Geforce-Gt-730-4gb-Gddr3-Pci-e-3.0/145078222</t>
  </si>
  <si>
    <t xml:space="preserve">Tarjeta Gráfica Nvidea Geforce Gt 730 4gb Gddr3 Pci-e 3.0
</t>
  </si>
  <si>
    <t xml:space="preserve">su resolución de 4096x2160 no te defraudará. La decodificación de los píxeles en tu pantalla te harán ver hasta los detalles más ínfimos en cada ilustración.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</si>
  <si>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</si>
  <si>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</si>
  <si>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</si>
  <si>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</si>
  <si>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</si>
  <si>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</si>
  <si>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</si>
  <si>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</si>
  <si>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</si>
  <si>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</si>
  <si>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procesador-gamer-intel-core-i5-12600kf-bx8071512600kf-de-10-nucleos-y-49ghz-de-frecuencia/p/MCO18720204?pdp_filters=item_id:MCO3079954926#is_advertising=true&amp;searchVariation=MCO18720204&amp;backend_model=search-backend&amp;position=1&amp;search_layout=stack&amp;type=pad&amp;tracking_id=eef054d1-add3-411c-a370-1174a517bc1a&amp;ad_domain=VQCATCORE_LST&amp;ad_position=1&amp;ad_click_id=YjI2NzE4YTItYmYxNC00NTc4LWJhM2UtY2UzMDkxNmE5OGEy</t>
  </si>
  <si>
    <t>Procesador gamer Intel Core i5-12600KF BX8071512600KF de 10 núcleos y 4.9GHz de frecuencia</t>
  </si>
  <si>
    <t>Ejecuta programas de edición de videos, creación de contenido, streaming y videojuegos sin afectar el rendimiento del dispositivo.</t>
  </si>
  <si>
    <t>https://www.mercadolibre.com.co/procesador-gamer-amd-ryzen-5-3600-de-6-nucleos-12-hilos-y-42ghz-100-100000031box/p/MCO15143240#polycard_client=search-nordic&amp;search_layout=stack&amp;position=25&amp;type=product&amp;tracking_id=4863590a-ae18-489d-81d5-aede30d620cf&amp;wid=MCO2828732580&amp;sid=search</t>
  </si>
  <si>
    <t xml:space="preserve">Procesador gamer AMD Ryzen 5 3600 de 6 núcleos / 12 hilos y 4.2GHz 100-100000031BOX
</t>
  </si>
  <si>
    <t xml:space="preserve">Clave en el rendimiento de tu computador de escritorio, ya no tienes que pensar en cómo distribuir el tiempo y acciones porque ahora las tareas en simultáneo son posibles.
</t>
  </si>
  <si>
    <t>https://www.mercadolibre.com.co/procesador-intel-core-i3-10100-bx8070110100-de-4-nucleos-y-43ghz-de-frecuencia-con-grafica-integrada/p/MCO15915916#polycard_client=search-nordic&amp;search_layout=stack&amp;position=1&amp;type=product&amp;tracking_id=584e9757-e365-4535-a6ea-0c8619111eab&amp;wid=MCO1164805894&amp;sid=search</t>
  </si>
  <si>
    <t>Procesador Intel Core i3-10100 BX8070110100 de 4 núcleos y 4.3GHz de frecuencia con gráfica integrada</t>
  </si>
  <si>
    <t xml:space="preserve">Cuenta con Hyper-Threading que favorece la ejecución de programas en simultáneo, al dividir el procesador físico en dos procesadores lógicos.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</si>
  <si>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</si>
  <si>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</si>
  <si>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</si>
  <si>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</si>
  <si>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</si>
  <si>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</si>
  <si>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</si>
  <si>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</si>
  <si>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</si>
  <si>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</si>
  <si>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https://www.panamericana.com.co/teclado-basico-esenses-bk-107-159503/p</t>
  </si>
  <si>
    <t xml:space="preserve">Teclado básico Esenses BK 107
</t>
  </si>
  <si>
    <t>Cuenta con 107 teclas y se conecta a través de un puerto USB, lo que garantiza una instalación sencilla y rápida</t>
  </si>
  <si>
    <t>https://www.mercadolibre.com.co/teclado-genius-kb-100-usb-negro/p/MCO15293170#polycard_client=search-nordic&amp;search_layout=stack&amp;position=9&amp;type=product&amp;tracking_id=c23ed1cd-2eda-422d-b58c-a8483077138d&amp;wid=MCO1575073313&amp;sid=search</t>
  </si>
  <si>
    <t>Teclado Genius KB-100 USB Negro</t>
  </si>
  <si>
    <t>Peso ligero de 450 g, ideal para transporte y uso diario.
Ver característi</t>
  </si>
  <si>
    <t>ALKOSTO</t>
  </si>
  <si>
    <t xml:space="preserve">Combo HP Alámbrico Teclado + Mouse 150 Negro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</si>
  <si>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</si>
  <si>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</si>
  <si>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</si>
  <si>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</si>
  <si>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</si>
  <si>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</si>
  <si>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</si>
  <si>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</si>
  <si>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</si>
  <si>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</si>
  <si>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</si>
  <si>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https://www.mercadolibre.com.co/mouse-inalambrico-genius-nx-7000-calm-black-1200-dpi-3bot/p/MCO6162786#polycard_client=search-nordic&amp;search_layout=stack&amp;position=26&amp;type=product&amp;tracking_id=cf30d6e6-2858-4afb-8771-15577523beb6&amp;wid=MCO1651585475&amp;sid=search</t>
  </si>
  <si>
    <t>Mouse Inalámbrico Genius Nx-7000 Calm Black</t>
  </si>
  <si>
    <t>Sensor óptico de alta precisión con resolución de 1200 DPI.</t>
  </si>
  <si>
    <t>https://www.alkosto.com/mouse-hp-alambrico-optico-100-negro/p/193905461370</t>
  </si>
  <si>
    <t>Mouse HP Alámbrico Óptico 100 Negro</t>
  </si>
  <si>
    <t xml:space="preserve">Está diseñado para usarlo todos los días, durante todo el día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</si>
  <si>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</si>
  <si>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</si>
  <si>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</si>
  <si>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</si>
  <si>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</si>
  <si>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</si>
  <si>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</si>
  <si>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</si>
  <si>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</si>
  <si>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</si>
  <si>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SYSTORE COLOMBIA </t>
  </si>
  <si>
    <t>https://systorecolombia.com/59-windows</t>
  </si>
  <si>
    <t>MICROSOFT WINDOWS 10 PROFESIONAL A 64 BITS OEM FQC-08981</t>
  </si>
  <si>
    <t>Windows 10 es un sistema operativo de computadora personal desarrollado y lanzado por Microsoft como parte de la familia de sistemas operativos Windows NT</t>
  </si>
  <si>
    <t>https://systorecolombia.com/windows/942-microsoft-windows-11-profesional-ggk-kit-de-legalizacion-64-bits-oem-4yr-00229.html</t>
  </si>
  <si>
    <t>Microsoft Windows 11 Profesional GGK Kit de Legalización 64 Bits Oem 4YR-00229</t>
  </si>
  <si>
    <t>Licencia para equipo usado, no transferible, muere con la maquina, incluye DVD de instalación</t>
  </si>
  <si>
    <t>https://systorecolombia.com/windows/643-microsoft-windows-10-profesional-a-64-bits-usb-transferible-fqc-08788.html</t>
  </si>
  <si>
    <t>Microsoft Windows 10 Profesional a 64 Bits Usb Transferible Fqc-08788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</si>
  <si>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</si>
  <si>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</si>
  <si>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</si>
  <si>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</si>
  <si>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</si>
  <si>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</si>
  <si>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</si>
  <si>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</si>
  <si>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</si>
  <si>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</si>
  <si>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G2A</t>
  </si>
  <si>
    <t xml:space="preserve">https://www.g2a.com/es/microsoft-visual-studio-2022-professional-pc-microsoft-key-global-i10000325952002?___currency=COP&amp;___language=es&amp;er=055c9053725c1f6ad1fd86196901382117c327559a76dd5c5643910fe11337bbf89054c37756fd128ef68cd6a66f1737&amp;uuid=6d5a73bc-30fb-4428-9094-a5b7bdf09cbe&amp;adid=GA-CO_PEB_TP_CST_PMAX_FULL&amp;id=47&amp;utm_medium=cpc&amp;utm_source=google&amp;utm_campaign=GA-CO_PEB_TP_CST_PMAX_FULL&amp;utm_id=21519124221&amp;gclsrc=aw.ds&amp;gad_source=1&amp;gad_campaignid=21525321002&amp;gbraid=0AAAAADqf3lG1TdI_6GGOhMrXj0qeYJzxJ&amp;gclid=CjwKCAiAwqHIBhAEEiwAx9cTecz1pr-SFBEjAbY1ovweknOApvquJ2lLyPZBp_EgY93cTk3udzEivBoChysQAvD_BwE
</t>
  </si>
  <si>
    <t>Microsoft Visual Studio 2022 Professional Global</t>
  </si>
  <si>
    <t>Revolution Soft</t>
  </si>
  <si>
    <t>https://revolutionsoft.com.co/programacion/microsoft-visual-studio-2022-professional.html?srsltid=AfmBOorwO7hKi656FSpT8VV_et-MSycgtVTI3STrlKb562kdpEAFMnZBb5U</t>
  </si>
  <si>
    <t>Visual Studio 2022 Professional - Licencia de por vida</t>
  </si>
  <si>
    <t>El mejor IDE completo para desarrolladores de .NET y C++ en Windows. Completamente equipado con una buena matriz de herramientas y características para elevar y mejorar todas las etapas del desarrollo de software.</t>
  </si>
  <si>
    <t xml:space="preserve">MICROSOFT </t>
  </si>
  <si>
    <t>https://www.microsoft.com/es-co/d/visual-studio-professional-2022/dg7gmgf0d3sj</t>
  </si>
  <si>
    <t>Visual Studio Professional 2022</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</si>
  <si>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</si>
  <si>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</si>
  <si>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</si>
  <si>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</si>
  <si>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</si>
  <si>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</si>
  <si>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</si>
  <si>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</si>
  <si>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</si>
  <si>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</si>
  <si>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TULICENCIAS</t>
  </si>
  <si>
    <t>https://tulicencias.com/product/windows-11-pro/?currency=COP&amp;utm_id=22950947926&amp;utm_source=google&amp;utm_medium=cpc&amp;utm_device=c&amp;gad_source=1&amp;gad_campaignid=22950947926&amp;gbraid=0AAAAA9_hf_BtBoJ_W_HOV9cvqzZMsNo9Q&amp;gclid=CjwKCAiAwqHIBhAEEiwAx9cTeRH0wwHIMY_lzhtRXliT-10HZtZoqaWMlZ71JP_CVfyHr4Xm9_vk1hoCYP4QAvD_BwE</t>
  </si>
  <si>
    <t xml:space="preserve">Licencia Windows 11 Pro ESD Vitalicia
</t>
  </si>
  <si>
    <t>Licencia de por vida para 1 PC</t>
  </si>
  <si>
    <t>ENEBA</t>
  </si>
  <si>
    <t>https://www.eneba.com/es/microsoft-windows-microsoft-windows-11-oem-home-key-global/digital-imperium?product=digital&amp;currency=COP&amp;utm_adid=&amp;utm_campaign=&amp;utm_content=&amp;utm_source=google-ads&amp;utm_term=&amp;gad_source=1&amp;gad_campaignid=19499769054&amp;gbraid=0AAAAAC5HeFyMi8-C1CpuGcvrjjQYIm4Zk&amp;gclid=CjwKCAiAwqHIBhAEEiwAx9cTedC9tBsn5-8-qOxXxBZpQFWP7bI8sPtcmas-BfDGbkZK_E0PLK4AKRoCi1wQAvD_BwE</t>
  </si>
  <si>
    <t>Windows 11 OEM Home GLOBAL</t>
  </si>
  <si>
    <t>licenciaspccl</t>
  </si>
  <si>
    <t>https://licenciaspccl.net/product/paquete-windows-11-pro-microsoft-office-2021-professional-plus/?utm_source=Google%20Shopping&amp;utm_campaign=USD&amp;utm_medium=cpc&amp;utm_term=1310&amp;gad_source=4&amp;gad_campaignid=22962619869&amp;gbraid=0AAAAA-acnc7QOtQRCYuYT7_q98pRJvZyU&amp;gclid=CjwKCAiAwqHIBhAEEiwAx9cTeS9hcaobEL8Kl2F5u0qxT91cjCpCsvy0scXuShy4K2OZ_HkQtai0wRoCgPwQAvD_BwE</t>
  </si>
  <si>
    <t>PAQUETE: Windows 11 Pro + Microsoft Office 2021 Professional Plus CDKEY</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</si>
  <si>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</si>
  <si>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</si>
  <si>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</si>
  <si>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</si>
  <si>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</si>
  <si>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</si>
  <si>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</si>
  <si>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</si>
  <si>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</si>
  <si>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</si>
  <si>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g2a.com/es/microsoft-sql-server-2022-standard-pc-microsoft-key-global-i10000505539001?___language=es&amp;er=1a66240df3f1d892ae5a758c232bf69a9b137b2fce36bcd73400868f8a7fe6952d24541e7cd658840a828a79ec970ee3&amp;uuid=a3efe557-68ce-4ff1-82ff-24f01f41913e&amp;adid=GA-CO_PEB_TP_CST_PMAX_FULL&amp;id=47&amp;utm_medium=cpc&amp;utm_source=google&amp;utm_campaign=GA-CO_PEB_TP_CST_PMAX_FULL&amp;utm_id=21519124221&amp;gclsrc=aw.ds&amp;gad_source=4&amp;gad_campaignid=21525321002&amp;gbraid=0AAAAADqf3lHG_YC6iKBkT5sPQ8rfvvNst&amp;gclid=CjwKCAiAwqHIBhAEEiwAx9cTeSWsk9MZAQ7A5BB8OS4yrU9TLOqsd_RtKHWUFrUgF1R0zxanl9o3dhoC4T4QAvD_BwE</t>
  </si>
  <si>
    <t>Microsoft SQL Server 2022 Standard (PC) - Microsoft Key - GLOBAL</t>
  </si>
  <si>
    <t>BODEGA DIGITAL</t>
  </si>
  <si>
    <t>https://bodegadigital.biz/producto/licencia-sql-server-standard-2019/?srsltid=AfmBOopDDvn92o9Yja7C2ozrVl2Zyag2VVKER7g3rnIFff2Tv2usVksAExg</t>
  </si>
  <si>
    <t xml:space="preserve">Licencia SQL Server Standard 2019 </t>
  </si>
  <si>
    <t>Buhodigital</t>
  </si>
  <si>
    <t>https://buhodigitalcol.com/sql-server-2019/?gad_source=4&amp;gad_campaignid=22501703237&amp;gbraid=0AAAAAqHi9t8aNosOz3bNKy9jHTPZ6Bb6i&amp;gclid=CjwKCAiAwqHIBhAEEiwAx9cTecjQ7s0IS5U7RmrirdLJ5YtdhmRRQzBdKulXJKvkkVA5TOyH7NFX1hoCU44QAvD_BwE</t>
  </si>
  <si>
    <t>SQL Server 2019</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</si>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</sst>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240A]\ * #,##0.00_-;\-[$$-240A]\ * #,##0.00_-;_-[$$-240A]\ * &quot;-&quot;??_-;_-@"/>
    <numFmt numFmtId="165" formatCode="_([$$-409]* #,##0.00_);_([$$-409]* \(#,##0.00\);_([$$-409]* &quot;-&quot;??_);_(@_)"/>
    <numFmt numFmtId="166" formatCode="_-[$$-409]* #,##0.00_ ;_-[$$-409]* \-#,##0.00\ ;_-[$$-409]* &quot;-&quot;??_ ;_-@_ "/>
    <numFmt numFmtId="167" formatCode="&quot;$&quot;#,##0.00_);[Red]\(&quot;$&quot;#,##0.00\)"/>
    <numFmt numFmtId="168" formatCode="&quot;$&quot;#,##0_);[Red]\(&quot;$&quot;#,##0\)"/>
    <numFmt numFmtId="169" formatCode="_(&quot;$&quot;* #,##0.00_);_(&quot;$&quot;* \(#,##0.00\);_(&quot;$&quot;* &quot;-&quot;??_);_(@_)"/>
    <numFmt numFmtId="170" formatCode="_-* #,##0.00_-;\-* #,##0.00_-;_-* &quot;-&quot;??_-;_-@"/>
  </numFmts>
  <fonts count="53">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rgb="FF0000FF"/>
      <name val="Arial"/>
    </font>
    <font>
      <sz val="10.0"/>
      <color rgb="FF000000"/>
      <name val="Arial"/>
    </font>
    <font>
      <u/>
      <sz val="10.0"/>
      <color rgb="FF000000"/>
      <name val="Trebuchet MS"/>
    </font>
    <font>
      <sz val="10.0"/>
      <color theme="1"/>
      <name val="Trebuchet MS"/>
    </font>
    <font>
      <sz val="10.0"/>
      <color theme="1"/>
      <name val="Proxima Nova"/>
    </font>
    <font>
      <sz val="10.0"/>
      <color rgb="FF231F20"/>
      <name val="Trebuchet MS"/>
    </font>
    <font>
      <sz val="10.0"/>
      <color rgb="FF3C4B71"/>
      <name val="Arial"/>
    </font>
    <font>
      <b/>
      <sz val="10.0"/>
      <color theme="1"/>
      <name val="Open Sans"/>
    </font>
    <font>
      <sz val="10.0"/>
      <color rgb="FF222222"/>
      <name val="Arial"/>
    </font>
    <font>
      <sz val="10.0"/>
      <color theme="1"/>
      <name val="Montserrat"/>
    </font>
    <font>
      <sz val="10.0"/>
      <color theme="1"/>
      <name val="Arial Narrow"/>
    </font>
    <font>
      <b/>
      <u/>
      <sz val="10.0"/>
      <color theme="1"/>
      <name val="Arial"/>
    </font>
    <font>
      <u/>
      <sz val="10.0"/>
      <color theme="10"/>
      <name val="Arial"/>
    </font>
    <font>
      <u/>
      <sz val="10.0"/>
      <color rgb="FF000000"/>
      <name val="Arial"/>
    </font>
    <font>
      <u/>
      <sz val="10.0"/>
      <color theme="10"/>
      <name val="Arial"/>
    </font>
    <font>
      <sz val="10.0"/>
      <color rgb="FF444444"/>
      <name val="Arial"/>
    </font>
    <font>
      <u/>
      <sz val="10.0"/>
      <color theme="10"/>
      <name val="Arial"/>
    </font>
    <font>
      <b/>
      <u/>
      <sz val="10.0"/>
      <color theme="1"/>
      <name val="Trebuchet MS"/>
    </font>
    <font>
      <sz val="10.0"/>
      <color rgb="FF231F20"/>
      <name val="Arial"/>
    </font>
    <font>
      <sz val="10.0"/>
      <color rgb="FF333333"/>
      <name val="Arial"/>
    </font>
    <font>
      <u/>
      <sz val="10.0"/>
      <color rgb="FF0000FF"/>
      <name val="Arial"/>
    </font>
    <font>
      <sz val="10.0"/>
      <color rgb="FF666666"/>
      <name val="Arial"/>
    </font>
    <font>
      <b/>
      <sz val="10.0"/>
      <color rgb="FF333E48"/>
      <name val="Arial"/>
    </font>
    <font>
      <sz val="10.0"/>
      <color rgb="FF333E48"/>
      <name val="Arial"/>
    </font>
    <font>
      <sz val="10.0"/>
      <color rgb="FF4A4A4A"/>
      <name val="Arial"/>
    </font>
    <font>
      <u/>
      <sz val="10.0"/>
      <color rgb="FF000000"/>
      <name val="Arial"/>
    </font>
    <font>
      <u/>
      <sz val="10.0"/>
      <color rgb="FF000000"/>
      <name val="Arial"/>
    </font>
    <font>
      <sz val="10.0"/>
      <color rgb="FF0F1111"/>
      <name val="Arial"/>
    </font>
    <font>
      <u/>
      <sz val="10.0"/>
      <color theme="10"/>
      <name val="Arial"/>
    </font>
    <font>
      <color theme="1"/>
      <name val="Arial"/>
    </font>
    <font>
      <u/>
      <sz val="10.0"/>
      <color rgb="FF0000FF"/>
      <name val="Arial"/>
    </font>
    <font>
      <u/>
      <sz val="10.0"/>
      <color theme="1"/>
      <name val="Arial"/>
    </font>
    <font>
      <u/>
      <sz val="10.0"/>
      <color rgb="FF0000FF"/>
      <name val="Arial"/>
    </font>
    <font>
      <u/>
      <sz val="10.0"/>
      <color theme="1"/>
      <name val="Arial"/>
    </font>
    <font>
      <u/>
      <sz val="10.0"/>
      <color theme="1"/>
      <name val="Arial"/>
    </font>
    <font>
      <color theme="1"/>
      <name val="Arial"/>
      <scheme val="minor"/>
    </font>
    <font>
      <u/>
      <sz val="10.0"/>
      <color theme="1"/>
      <name val="Arial"/>
    </font>
    <font>
      <sz val="9.0"/>
      <color theme="1"/>
      <name val="Arial"/>
    </font>
    <font>
      <u/>
      <sz val="9.0"/>
      <color theme="1"/>
      <name val="Arial"/>
    </font>
    <font>
      <u/>
      <sz val="10.0"/>
      <color theme="1"/>
      <name val="Arial"/>
    </font>
    <font>
      <u/>
      <sz val="10.0"/>
      <color theme="1"/>
      <name val="Arial"/>
    </font>
    <font>
      <sz val="11.0"/>
      <color rgb="FF444444"/>
      <name val="Arial"/>
    </font>
    <font>
      <u/>
      <sz val="10.0"/>
      <color theme="1"/>
      <name val="Arial"/>
    </font>
    <font>
      <u/>
      <sz val="10.0"/>
      <color rgb="FF0000FF"/>
      <name val="Arial"/>
    </font>
  </fonts>
  <fills count="13">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EFEFEF"/>
        <bgColor rgb="FFEFEFEF"/>
      </patternFill>
    </fill>
    <fill>
      <patternFill patternType="solid">
        <fgColor rgb="FFFFFFFF"/>
        <bgColor rgb="FFFFFFFF"/>
      </patternFill>
    </fill>
    <fill>
      <patternFill patternType="solid">
        <fgColor rgb="FFF5F5F5"/>
        <bgColor rgb="FFF5F5F5"/>
      </patternFill>
    </fill>
    <fill>
      <patternFill patternType="solid">
        <fgColor rgb="FFD9D9D9"/>
        <bgColor rgb="FFD9D9D9"/>
      </patternFill>
    </fill>
    <fill>
      <patternFill patternType="solid">
        <fgColor rgb="FFCCCCCC"/>
        <bgColor rgb="FFCCCCCC"/>
      </patternFill>
    </fill>
    <fill>
      <patternFill patternType="solid">
        <fgColor rgb="FF00FF00"/>
        <bgColor rgb="FF00FF00"/>
      </patternFill>
    </fill>
    <fill>
      <patternFill patternType="solid">
        <fgColor rgb="FFF8F8F8"/>
        <bgColor rgb="FFF8F8F8"/>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4" fillId="6" fontId="10" numFmtId="0" xfId="0" applyAlignment="1" applyBorder="1" applyFill="1" applyFont="1">
      <alignment horizontal="center" readingOrder="0" shrinkToFit="0" vertical="center" wrapText="1"/>
    </xf>
    <xf borderId="4" fillId="0" fontId="8" numFmtId="164" xfId="0" applyAlignment="1" applyBorder="1" applyFont="1" applyNumberFormat="1">
      <alignment horizontal="center" readingOrder="0" shrinkToFit="0" vertical="center" wrapText="1"/>
    </xf>
    <xf borderId="4" fillId="0" fontId="8" numFmtId="165" xfId="0" applyAlignment="1" applyBorder="1" applyFont="1" applyNumberFormat="1">
      <alignment horizontal="center" shrinkToFit="0" vertical="center" wrapText="1"/>
    </xf>
    <xf borderId="4" fillId="0" fontId="11" numFmtId="166" xfId="0" applyAlignment="1" applyBorder="1" applyFont="1" applyNumberFormat="1">
      <alignment horizontal="center" readingOrder="0" shrinkToFit="0" vertical="center" wrapText="1"/>
    </xf>
    <xf borderId="4" fillId="0" fontId="12" numFmtId="0" xfId="0" applyAlignment="1" applyBorder="1" applyFont="1">
      <alignment horizontal="center" shrinkToFit="0" vertical="top" wrapText="1"/>
    </xf>
    <xf borderId="6" fillId="7" fontId="13" numFmtId="0" xfId="0" applyAlignment="1" applyBorder="1" applyFill="1" applyFont="1">
      <alignment horizontal="center" readingOrder="0" shrinkToFit="0" vertical="center" wrapText="1"/>
    </xf>
    <xf borderId="4" fillId="0" fontId="14" numFmtId="0" xfId="0" applyAlignment="1" applyBorder="1" applyFont="1">
      <alignment horizontal="center" shrinkToFit="0" vertical="center" wrapText="1"/>
    </xf>
    <xf borderId="4" fillId="7" fontId="15" numFmtId="0" xfId="0" applyAlignment="1" applyBorder="1" applyFont="1">
      <alignment horizontal="center" readingOrder="0" shrinkToFit="0" vertical="center" wrapText="1"/>
    </xf>
    <xf borderId="6" fillId="7" fontId="16" numFmtId="0" xfId="0" applyAlignment="1" applyBorder="1" applyFont="1">
      <alignment horizontal="center" readingOrder="0" shrinkToFit="0" vertical="center" wrapText="1"/>
    </xf>
    <xf borderId="4" fillId="7" fontId="17" numFmtId="0" xfId="0" applyAlignment="1" applyBorder="1" applyFont="1">
      <alignment horizontal="center" readingOrder="0" shrinkToFit="0" vertical="center" wrapText="1"/>
    </xf>
    <xf borderId="6" fillId="7" fontId="18" numFmtId="0" xfId="0" applyAlignment="1" applyBorder="1" applyFont="1">
      <alignment horizontal="center" readingOrder="0" shrinkToFit="0" vertical="center" wrapText="1"/>
    </xf>
    <xf borderId="4" fillId="0" fontId="1" numFmtId="0" xfId="0" applyBorder="1" applyFont="1"/>
    <xf borderId="4" fillId="0" fontId="12"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0" fillId="0" fontId="19" numFmtId="0" xfId="0" applyAlignment="1" applyFont="1">
      <alignment horizontal="center" shrinkToFit="0" vertical="center" wrapText="1"/>
    </xf>
    <xf borderId="0" fillId="0" fontId="1" numFmtId="0" xfId="0" applyFont="1"/>
    <xf borderId="4" fillId="0" fontId="4" numFmtId="0" xfId="0" applyAlignment="1" applyBorder="1" applyFont="1">
      <alignment horizontal="center" shrinkToFit="0" vertical="center" wrapText="1"/>
    </xf>
    <xf borderId="4" fillId="4" fontId="2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7" fillId="0" fontId="21" numFmtId="0" xfId="0" applyAlignment="1" applyBorder="1" applyFont="1">
      <alignment shrinkToFit="0" vertical="center" wrapText="1"/>
    </xf>
    <xf borderId="4" fillId="0" fontId="10" numFmtId="0" xfId="0" applyAlignment="1" applyBorder="1" applyFont="1">
      <alignment horizontal="center" shrinkToFit="0" vertical="center" wrapText="1"/>
    </xf>
    <xf borderId="4" fillId="0" fontId="10" numFmtId="167"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top" wrapText="1"/>
    </xf>
    <xf borderId="4" fillId="7" fontId="22" numFmtId="166" xfId="0" applyAlignment="1" applyBorder="1" applyFont="1" applyNumberFormat="1">
      <alignment horizontal="center" shrinkToFit="0" vertical="center" wrapText="1"/>
    </xf>
    <xf borderId="4" fillId="7" fontId="10" numFmtId="0" xfId="0" applyAlignment="1" applyBorder="1" applyFont="1">
      <alignment shrinkToFit="0" vertical="center" wrapText="1"/>
    </xf>
    <xf borderId="4" fillId="7" fontId="23" numFmtId="0" xfId="0" applyAlignment="1" applyBorder="1" applyFont="1">
      <alignment horizontal="center" shrinkToFit="0" vertical="center" wrapText="1"/>
    </xf>
    <xf borderId="6" fillId="6" fontId="24" numFmtId="0" xfId="0" applyAlignment="1" applyBorder="1" applyFont="1">
      <alignment horizontal="center" shrinkToFit="0" vertical="center" wrapText="1"/>
    </xf>
    <xf borderId="4" fillId="8" fontId="24" numFmtId="0" xfId="0" applyAlignment="1" applyBorder="1" applyFill="1" applyFont="1">
      <alignment shrinkToFit="0" vertical="center" wrapText="1"/>
    </xf>
    <xf borderId="4" fillId="0" fontId="25" numFmtId="0" xfId="0" applyAlignment="1" applyBorder="1" applyFont="1">
      <alignment horizontal="center" shrinkToFit="0" vertical="center" wrapText="1"/>
    </xf>
    <xf borderId="4" fillId="7" fontId="24" numFmtId="0" xfId="0" applyAlignment="1" applyBorder="1" applyFont="1">
      <alignment horizontal="center" shrinkToFit="0" vertical="center" wrapText="1"/>
    </xf>
    <xf borderId="4" fillId="0" fontId="10" numFmtId="168" xfId="0" applyAlignment="1" applyBorder="1" applyFont="1" applyNumberFormat="1">
      <alignment horizontal="center" shrinkToFit="0" vertical="center" wrapText="1"/>
    </xf>
    <xf borderId="8" fillId="3" fontId="4"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8" fillId="4" fontId="26"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4" fillId="9" fontId="10" numFmtId="0" xfId="0" applyAlignment="1" applyBorder="1" applyFill="1" applyFont="1">
      <alignment horizontal="center" shrinkToFit="0" vertical="center" wrapText="1"/>
    </xf>
    <xf borderId="4" fillId="7" fontId="10" numFmtId="0" xfId="0" applyAlignment="1" applyBorder="1" applyFont="1">
      <alignment horizontal="center" shrinkToFit="0" wrapText="1"/>
    </xf>
    <xf borderId="4" fillId="0" fontId="27" numFmtId="0" xfId="0" applyAlignment="1" applyBorder="1" applyFont="1">
      <alignment horizontal="center" shrinkToFit="0" vertical="center" wrapText="1"/>
    </xf>
    <xf borderId="4" fillId="7" fontId="28" numFmtId="0" xfId="0" applyAlignment="1" applyBorder="1" applyFont="1">
      <alignment horizontal="center" shrinkToFit="0" vertical="center" wrapText="1"/>
    </xf>
    <xf borderId="7" fillId="7" fontId="28" numFmtId="0" xfId="0" applyAlignment="1" applyBorder="1" applyFont="1">
      <alignment horizontal="center" shrinkToFit="0" wrapText="1"/>
    </xf>
    <xf borderId="7" fillId="0" fontId="10" numFmtId="0" xfId="0" applyAlignment="1" applyBorder="1" applyFont="1">
      <alignment horizontal="center" shrinkToFit="0" vertical="center" wrapText="1"/>
    </xf>
    <xf borderId="7" fillId="0" fontId="10" numFmtId="3" xfId="0" applyAlignment="1" applyBorder="1" applyFont="1" applyNumberFormat="1">
      <alignment horizontal="center" shrinkToFit="0" vertical="center" wrapText="1"/>
    </xf>
    <xf borderId="10" fillId="0" fontId="3" numFmtId="0" xfId="0" applyBorder="1" applyFont="1"/>
    <xf borderId="4" fillId="0" fontId="1" numFmtId="0" xfId="0" applyAlignment="1" applyBorder="1" applyFont="1">
      <alignment horizontal="left" shrinkToFit="0" vertical="top" wrapText="1"/>
    </xf>
    <xf borderId="1" fillId="0" fontId="4" numFmtId="0" xfId="0" applyAlignment="1" applyBorder="1" applyFont="1">
      <alignment horizontal="center" vertical="center"/>
    </xf>
    <xf borderId="4" fillId="10" fontId="10" numFmtId="0" xfId="0" applyAlignment="1" applyBorder="1" applyFill="1" applyFont="1">
      <alignment horizontal="center" shrinkToFit="0" vertical="center" wrapText="1"/>
    </xf>
    <xf borderId="4" fillId="7" fontId="10" numFmtId="164" xfId="0" applyAlignment="1" applyBorder="1" applyFont="1" applyNumberFormat="1">
      <alignment horizontal="center" shrinkToFit="0" vertical="center" wrapText="1"/>
    </xf>
    <xf borderId="4" fillId="0" fontId="10" numFmtId="164"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top" wrapText="1"/>
    </xf>
    <xf borderId="4" fillId="7" fontId="10" numFmtId="0" xfId="0" applyAlignment="1" applyBorder="1" applyFont="1">
      <alignment horizontal="center" shrinkToFit="0" vertical="center" wrapText="1"/>
    </xf>
    <xf borderId="10" fillId="0" fontId="12" numFmtId="0" xfId="0" applyAlignment="1" applyBorder="1" applyFont="1">
      <alignment horizontal="left" shrinkToFit="0" vertical="top" wrapText="1"/>
    </xf>
    <xf borderId="9" fillId="5" fontId="4" numFmtId="165" xfId="0" applyAlignment="1" applyBorder="1" applyFont="1" applyNumberFormat="1">
      <alignment horizontal="center" shrinkToFit="0" vertical="center" wrapText="1"/>
    </xf>
    <xf borderId="4" fillId="0" fontId="29"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0" fontId="10" numFmtId="164" xfId="0" applyAlignment="1" applyBorder="1" applyFont="1" applyNumberFormat="1">
      <alignment horizontal="center" readingOrder="0" shrinkToFit="0" vertical="center" wrapText="1"/>
    </xf>
    <xf borderId="4" fillId="0" fontId="1" numFmtId="165" xfId="0" applyAlignment="1" applyBorder="1" applyFont="1" applyNumberFormat="1">
      <alignment horizontal="center" readingOrder="0" shrinkToFit="0" vertical="top" wrapText="1"/>
    </xf>
    <xf borderId="4" fillId="7" fontId="30" numFmtId="0" xfId="0" applyAlignment="1" applyBorder="1" applyFont="1">
      <alignment horizontal="center" shrinkToFit="0" vertical="center" wrapText="1"/>
    </xf>
    <xf borderId="4" fillId="7" fontId="10" numFmtId="164" xfId="0" applyAlignment="1" applyBorder="1" applyFont="1" applyNumberFormat="1">
      <alignment horizontal="center" readingOrder="0" shrinkToFit="0" vertical="center" wrapText="1"/>
    </xf>
    <xf borderId="4" fillId="7" fontId="10" numFmtId="0" xfId="0" applyAlignment="1" applyBorder="1" applyFont="1">
      <alignment horizontal="center" readingOrder="0" shrinkToFit="0" vertical="center" wrapText="1"/>
    </xf>
    <xf borderId="4" fillId="9" fontId="27" numFmtId="0" xfId="0" applyAlignment="1" applyBorder="1" applyFont="1">
      <alignment horizontal="center" shrinkToFit="0" vertical="center" wrapText="1"/>
    </xf>
    <xf borderId="4" fillId="7" fontId="31" numFmtId="0" xfId="0" applyAlignment="1" applyBorder="1" applyFont="1">
      <alignment horizontal="center" shrinkToFit="0" vertical="center" wrapText="1"/>
    </xf>
    <xf borderId="4" fillId="7" fontId="3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4" fillId="7" fontId="33" numFmtId="164" xfId="0" applyAlignment="1" applyBorder="1" applyFont="1" applyNumberFormat="1">
      <alignment horizontal="center" shrinkToFit="0" vertical="center" wrapText="1"/>
    </xf>
    <xf borderId="4" fillId="7" fontId="28" numFmtId="0" xfId="0" applyAlignment="1" applyBorder="1" applyFont="1">
      <alignment shrinkToFit="0" vertical="center" wrapText="1"/>
    </xf>
    <xf borderId="4" fillId="7" fontId="1" numFmtId="164" xfId="0" applyAlignment="1" applyBorder="1" applyFont="1" applyNumberFormat="1">
      <alignment horizontal="center" shrinkToFit="0" vertical="center" wrapText="1"/>
    </xf>
    <xf borderId="7" fillId="0" fontId="10" numFmtId="0" xfId="0" applyAlignment="1" applyBorder="1" applyFont="1">
      <alignment horizontal="center" readingOrder="0" shrinkToFit="0" vertical="center" wrapText="1"/>
    </xf>
    <xf borderId="7" fillId="11" fontId="10" numFmtId="0" xfId="0" applyAlignment="1" applyBorder="1" applyFill="1" applyFont="1">
      <alignment horizontal="center" readingOrder="0" shrinkToFit="0" vertical="center" wrapText="1"/>
    </xf>
    <xf borderId="7" fillId="0" fontId="10" numFmtId="164" xfId="0" applyAlignment="1" applyBorder="1" applyFont="1" applyNumberFormat="1">
      <alignment horizontal="center" readingOrder="0" shrinkToFit="0" vertical="center" wrapText="1"/>
    </xf>
    <xf borderId="4" fillId="0" fontId="10" numFmtId="0" xfId="0" applyAlignment="1" applyBorder="1" applyFont="1">
      <alignment horizontal="left" readingOrder="0" shrinkToFit="0" vertical="center" wrapText="1"/>
    </xf>
    <xf borderId="1" fillId="0" fontId="1" numFmtId="0" xfId="0" applyBorder="1" applyFont="1"/>
    <xf borderId="4" fillId="0" fontId="34" numFmtId="0" xfId="0" applyAlignment="1" applyBorder="1" applyFont="1">
      <alignment horizontal="center" shrinkToFit="0" vertical="center" wrapText="1"/>
    </xf>
    <xf borderId="5" fillId="7" fontId="35" numFmtId="166" xfId="0" applyAlignment="1" applyBorder="1" applyFont="1" applyNumberFormat="1">
      <alignment horizontal="center" shrinkToFit="0" vertical="center" wrapText="1"/>
    </xf>
    <xf borderId="4" fillId="0" fontId="10" numFmtId="0" xfId="0" applyAlignment="1" applyBorder="1" applyFont="1">
      <alignment horizontal="center" vertical="center"/>
    </xf>
    <xf borderId="6" fillId="7" fontId="10" numFmtId="0" xfId="0" applyAlignment="1" applyBorder="1" applyFont="1">
      <alignment horizontal="center" shrinkToFit="0" vertical="center" wrapText="1"/>
    </xf>
    <xf borderId="6" fillId="7" fontId="36" numFmtId="0" xfId="0" applyAlignment="1" applyBorder="1" applyFont="1">
      <alignment horizontal="center" shrinkToFit="0" vertical="center" wrapText="1"/>
    </xf>
    <xf borderId="4" fillId="0" fontId="37" numFmtId="0" xfId="0" applyAlignment="1" applyBorder="1" applyFont="1">
      <alignment horizontal="center" readingOrder="0" shrinkToFit="0" vertical="center" wrapText="1"/>
    </xf>
    <xf borderId="4" fillId="11" fontId="10" numFmtId="0" xfId="0" applyAlignment="1" applyBorder="1" applyFont="1">
      <alignment horizontal="center" readingOrder="0" shrinkToFit="0" vertical="center" wrapText="1"/>
    </xf>
    <xf borderId="6" fillId="7" fontId="30" numFmtId="0" xfId="0" applyAlignment="1" applyBorder="1" applyFont="1">
      <alignment horizontal="center" readingOrder="0" shrinkToFit="0" vertical="center" wrapText="1"/>
    </xf>
    <xf borderId="0" fillId="0" fontId="38" numFmtId="0" xfId="0" applyFont="1"/>
    <xf borderId="4" fillId="8" fontId="24" numFmtId="0" xfId="0" applyAlignment="1" applyBorder="1" applyFont="1">
      <alignment horizontal="center" shrinkToFit="0" vertical="center" wrapText="1"/>
    </xf>
    <xf borderId="4" fillId="7" fontId="24" numFmtId="0" xfId="0" applyAlignment="1" applyBorder="1" applyFont="1">
      <alignment horizontal="center" readingOrder="0" shrinkToFit="0" vertical="center" wrapText="1"/>
    </xf>
    <xf borderId="4" fillId="8" fontId="24" numFmtId="0" xfId="0" applyAlignment="1" applyBorder="1" applyFont="1">
      <alignment horizontal="center" readingOrder="0" shrinkToFit="0" vertical="center" wrapText="1"/>
    </xf>
    <xf borderId="4" fillId="7" fontId="39" numFmtId="0" xfId="0" applyAlignment="1" applyBorder="1" applyFont="1">
      <alignment horizontal="center" readingOrder="0" shrinkToFit="0" vertical="center" wrapText="1"/>
    </xf>
    <xf borderId="4" fillId="7" fontId="28"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11" fontId="1" numFmtId="0" xfId="0" applyAlignment="1" applyBorder="1" applyFont="1">
      <alignment horizontal="center" readingOrder="0" shrinkToFit="0" vertical="center" wrapText="1"/>
    </xf>
    <xf borderId="4" fillId="7" fontId="1" numFmtId="164" xfId="0" applyAlignment="1" applyBorder="1" applyFont="1" applyNumberFormat="1">
      <alignment horizontal="center" readingOrder="0" shrinkToFit="0" vertical="center" wrapText="1"/>
    </xf>
    <xf borderId="4" fillId="0" fontId="1" numFmtId="164" xfId="0" applyAlignment="1" applyBorder="1" applyFont="1" applyNumberFormat="1">
      <alignment horizontal="center" shrinkToFit="0" vertical="center" wrapText="1"/>
    </xf>
    <xf borderId="4" fillId="0" fontId="1" numFmtId="169" xfId="0" applyAlignment="1" applyBorder="1" applyFont="1" applyNumberFormat="1">
      <alignment horizontal="center" readingOrder="0" shrinkToFit="0" vertical="center" wrapText="1"/>
    </xf>
    <xf borderId="4" fillId="7" fontId="40" numFmtId="170"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4" fillId="7" fontId="1" numFmtId="0" xfId="0" applyAlignment="1" applyBorder="1" applyFont="1">
      <alignment horizontal="center" readingOrder="0" shrinkToFit="0" vertical="center" wrapText="1"/>
    </xf>
    <xf borderId="4" fillId="0" fontId="41" numFmtId="0" xfId="0" applyAlignment="1" applyBorder="1" applyFont="1">
      <alignment horizontal="center" shrinkToFit="0" vertical="center" wrapText="1"/>
    </xf>
    <xf borderId="4" fillId="7" fontId="1" numFmtId="0" xfId="0" applyAlignment="1" applyBorder="1" applyFont="1">
      <alignment horizontal="center" shrinkToFit="0" vertical="center" wrapText="1"/>
    </xf>
    <xf borderId="4" fillId="7" fontId="1" numFmtId="165" xfId="0" applyAlignment="1" applyBorder="1" applyFont="1" applyNumberFormat="1">
      <alignment horizontal="center" shrinkToFit="0" vertical="center" wrapText="1"/>
    </xf>
    <xf borderId="4" fillId="7" fontId="42" numFmtId="166" xfId="0" applyAlignment="1" applyBorder="1" applyFont="1" applyNumberFormat="1">
      <alignment horizontal="center" shrinkToFit="0" vertical="center" wrapText="1"/>
    </xf>
    <xf borderId="4" fillId="0" fontId="1" numFmtId="164" xfId="0" applyAlignment="1" applyBorder="1" applyFont="1" applyNumberFormat="1">
      <alignment horizontal="center" readingOrder="0" shrinkToFit="0" vertical="center" wrapText="1"/>
    </xf>
    <xf borderId="4" fillId="7" fontId="43" numFmtId="164" xfId="0" applyAlignment="1" applyBorder="1" applyFont="1" applyNumberFormat="1">
      <alignment horizontal="center" shrinkToFit="0" vertical="center" wrapText="1"/>
    </xf>
    <xf borderId="0" fillId="0" fontId="44" numFmtId="0" xfId="0" applyAlignment="1" applyFont="1">
      <alignment readingOrder="0"/>
    </xf>
    <xf borderId="4" fillId="0" fontId="1" numFmtId="165" xfId="0" applyAlignment="1" applyBorder="1" applyFont="1" applyNumberFormat="1">
      <alignment horizontal="center" readingOrder="0" shrinkToFit="0" vertical="center" wrapText="1"/>
    </xf>
    <xf borderId="4" fillId="7" fontId="1" numFmtId="0" xfId="0" applyAlignment="1" applyBorder="1" applyFont="1">
      <alignment horizontal="center" shrinkToFit="0" wrapText="1"/>
    </xf>
    <xf borderId="4" fillId="7" fontId="1" numFmtId="0" xfId="0" applyAlignment="1" applyBorder="1" applyFont="1">
      <alignment horizontal="center" readingOrder="0" shrinkToFit="0" wrapText="1"/>
    </xf>
    <xf borderId="4" fillId="0" fontId="1" numFmtId="165" xfId="0" applyAlignment="1" applyBorder="1" applyFont="1" applyNumberFormat="1">
      <alignment horizontal="center" shrinkToFit="0" vertical="center" wrapText="1"/>
    </xf>
    <xf borderId="4" fillId="7" fontId="4" numFmtId="164" xfId="0" applyAlignment="1" applyBorder="1" applyFont="1" applyNumberFormat="1">
      <alignment horizontal="center" shrinkToFit="0" vertical="center" wrapText="1"/>
    </xf>
    <xf borderId="4" fillId="8" fontId="1" numFmtId="0" xfId="0" applyAlignment="1" applyBorder="1" applyFont="1">
      <alignment horizontal="center" readingOrder="0" shrinkToFit="0" vertical="center" wrapText="1"/>
    </xf>
    <xf borderId="4" fillId="0" fontId="1" numFmtId="166" xfId="0" applyAlignment="1" applyBorder="1" applyFont="1" applyNumberFormat="1">
      <alignment horizontal="center" shrinkToFit="0" vertical="center" wrapText="1"/>
    </xf>
    <xf borderId="10" fillId="0" fontId="12" numFmtId="3" xfId="0" applyAlignment="1" applyBorder="1" applyFont="1" applyNumberFormat="1">
      <alignment horizontal="center" shrinkToFit="0" vertical="top" wrapText="1"/>
    </xf>
    <xf borderId="4" fillId="0" fontId="12" numFmtId="3" xfId="0" applyAlignment="1" applyBorder="1" applyFont="1" applyNumberFormat="1">
      <alignment horizontal="center" shrinkToFit="0" vertical="top" wrapText="1"/>
    </xf>
    <xf borderId="4" fillId="0" fontId="1" numFmtId="0" xfId="0" applyAlignment="1" applyBorder="1" applyFont="1">
      <alignment horizontal="center" readingOrder="0" shrinkToFit="0" vertical="top" wrapText="1"/>
    </xf>
    <xf borderId="4" fillId="0" fontId="45" numFmtId="0" xfId="0" applyAlignment="1" applyBorder="1" applyFont="1">
      <alignment horizontal="center" readingOrder="0" shrinkToFit="0" vertical="top" wrapText="1"/>
    </xf>
    <xf borderId="4" fillId="0" fontId="46" numFmtId="169" xfId="0" applyAlignment="1" applyBorder="1" applyFont="1" applyNumberFormat="1">
      <alignment horizontal="center" readingOrder="0" shrinkToFit="0" vertical="center" wrapText="1"/>
    </xf>
    <xf borderId="4" fillId="0" fontId="1" numFmtId="169" xfId="0" applyAlignment="1" applyBorder="1" applyFont="1" applyNumberFormat="1">
      <alignment horizontal="center" shrinkToFit="0" vertical="top" wrapText="1"/>
    </xf>
    <xf borderId="4" fillId="0" fontId="46" numFmtId="166" xfId="0" applyAlignment="1" applyBorder="1" applyFont="1" applyNumberFormat="1">
      <alignment horizontal="center" shrinkToFit="0" vertical="center" wrapText="1"/>
    </xf>
    <xf borderId="4" fillId="0" fontId="46" numFmtId="0" xfId="0" applyAlignment="1" applyBorder="1" applyFont="1">
      <alignment horizontal="center" shrinkToFit="0" vertical="center" wrapText="1"/>
    </xf>
    <xf borderId="4" fillId="0" fontId="1" numFmtId="0" xfId="0" applyAlignment="1" applyBorder="1" applyFont="1">
      <alignment horizontal="center" shrinkToFit="0" vertical="top" wrapText="1"/>
    </xf>
    <xf borderId="4" fillId="6" fontId="46" numFmtId="0" xfId="0" applyAlignment="1" applyBorder="1" applyFont="1">
      <alignment horizontal="center" shrinkToFit="0" vertical="center" wrapText="1"/>
    </xf>
    <xf borderId="4" fillId="0" fontId="47" numFmtId="0" xfId="0" applyAlignment="1" applyBorder="1" applyFont="1">
      <alignment horizontal="center" readingOrder="0" shrinkToFit="0" vertical="center" wrapText="1"/>
    </xf>
    <xf borderId="4" fillId="0" fontId="1" numFmtId="0" xfId="0" applyAlignment="1" applyBorder="1" applyFont="1">
      <alignment readingOrder="0" shrinkToFit="0" vertical="center" wrapText="1"/>
    </xf>
    <xf borderId="4" fillId="12" fontId="48" numFmtId="0" xfId="0" applyAlignment="1" applyBorder="1" applyFill="1" applyFont="1">
      <alignment readingOrder="0" shrinkToFit="0" vertical="center" wrapText="1"/>
    </xf>
    <xf borderId="4" fillId="0" fontId="49" numFmtId="0" xfId="0" applyAlignment="1" applyBorder="1" applyFont="1">
      <alignment shrinkToFit="0" vertical="center" wrapText="1"/>
    </xf>
    <xf borderId="4" fillId="0" fontId="1" numFmtId="164" xfId="0" applyAlignment="1" applyBorder="1" applyFont="1" applyNumberFormat="1">
      <alignment readingOrder="0" shrinkToFit="0" vertical="center" wrapText="1"/>
    </xf>
    <xf borderId="4" fillId="0" fontId="1" numFmtId="164" xfId="0" applyAlignment="1" applyBorder="1" applyFont="1" applyNumberFormat="1">
      <alignment shrinkToFit="0" vertical="center" wrapText="1"/>
    </xf>
    <xf borderId="4" fillId="0" fontId="1" numFmtId="165" xfId="0" applyAlignment="1" applyBorder="1" applyFont="1" applyNumberFormat="1">
      <alignment readingOrder="0" shrinkToFit="0" vertical="center" wrapText="1"/>
    </xf>
    <xf borderId="4" fillId="0" fontId="1" numFmtId="0" xfId="0" applyAlignment="1" applyBorder="1" applyFont="1">
      <alignment shrinkToFit="0" vertical="center" wrapText="1"/>
    </xf>
    <xf borderId="0" fillId="7" fontId="50" numFmtId="0" xfId="0" applyAlignment="1" applyFont="1">
      <alignment readingOrder="0"/>
    </xf>
    <xf borderId="4" fillId="0" fontId="51" numFmtId="0" xfId="0" applyAlignment="1" applyBorder="1" applyFont="1">
      <alignment readingOrder="0" shrinkToFit="0" vertical="center" wrapText="1"/>
    </xf>
    <xf borderId="4" fillId="12" fontId="52" numFmtId="0" xfId="0" applyAlignment="1" applyBorder="1" applyFont="1">
      <alignment readingOrder="0" shrinkToFit="0" vertical="center" wrapText="1"/>
    </xf>
    <xf borderId="4" fillId="0" fontId="1" numFmtId="164" xfId="0" applyAlignment="1" applyBorder="1" applyFont="1" applyNumberFormat="1">
      <alignment horizontal="center" readingOrder="0" shrinkToFit="0" vertical="top" wrapText="1"/>
    </xf>
    <xf borderId="4" fillId="0" fontId="1" numFmtId="164" xfId="0" applyAlignment="1" applyBorder="1" applyFont="1" applyNumberFormat="1">
      <alignment horizontal="center" shrinkToFit="0" vertical="top" wrapText="1"/>
    </xf>
    <xf borderId="4" fillId="0" fontId="1" numFmtId="166" xfId="0" applyAlignment="1" applyBorder="1" applyFont="1" applyNumberFormat="1">
      <alignment horizontal="center" shrinkToFit="0" vertical="top" wrapText="1"/>
    </xf>
    <xf borderId="4" fillId="7"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ticulo.mercadolibre.com.co/MCO-TORREADMIN-i3" TargetMode="External"/><Relationship Id="rId2" Type="http://schemas.openxmlformats.org/officeDocument/2006/relationships/hyperlink" Target="https://www.pcware.com.co/torre-admin-ryzen3" TargetMode="External"/><Relationship Id="rId3" Type="http://schemas.openxmlformats.org/officeDocument/2006/relationships/hyperlink" Target="https://powerdeal.com.co/products/torre-admin-pentiumgol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monitor-curvo-27-fhd-diseno-sin-bordes-color-black-100v240v/p/MCO17431651?pdp_filters=category%3AMCO1656&amp;quantity=3" TargetMode="External"/><Relationship Id="rId2" Type="http://schemas.openxmlformats.org/officeDocument/2006/relationships/hyperlink" Target="https://www.alkosto.com/monitor-samsung-gamer-24-pulgadas-g320nl-plano-negro/p/8806094113846" TargetMode="External"/><Relationship Id="rId3" Type="http://schemas.openxmlformats.org/officeDocument/2006/relationships/hyperlink" Target="https://www.alkosto.com/monitor-samsung-32-pulgadas-cm500-smart-display-negro/p/880609502016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rcadolibre.com.co/disco-solido-ssd-interno-crucial-ct500bx500ssd1-500gb-negro/p/MCO19614825?pdp_filters=category:MCO1672" TargetMode="External"/><Relationship Id="rId2" Type="http://schemas.openxmlformats.org/officeDocument/2006/relationships/hyperlink" Target="https://www.falabella.com.co/falabella-co/product/118315377/Unidad-Estado-Solido-SSD-Interno-Adata-XPG-S40G-1TB/118315378"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disco-solido-ssd-interno-kingston-sa400s37240gb-negro/p/MCO19035706?pdp_filters=category:MCO1672" TargetMode="External"/><Relationship Id="rId2" Type="http://schemas.openxmlformats.org/officeDocument/2006/relationships/hyperlink" Target="https://www.ktronix.com/disco-duro-toshiba-basic-2tb/p/723844001346"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servidor-rack-marca-ciara-intel-xeon-e3-1260l-16gb-1tb/up/MCOU2403468563" TargetMode="External"/><Relationship Id="rId2" Type="http://schemas.openxmlformats.org/officeDocument/2006/relationships/hyperlink" Target="https://www.mercadolibre.com.co/servidor-lenovo-ts440-intel-xeon-e3-1226-v3-ram-32gb-1tb-ssd/up/MCOU2996417764" TargetMode="External"/><Relationship Id="rId3" Type="http://schemas.openxmlformats.org/officeDocument/2006/relationships/hyperlink" Target="https://www.mercadolibre.com.co/servidor-lenovo-rd540/up/MCOU3084861577"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peedlogic.com.co/tienda/memorias-ram/memoria-ram-ddr4-16g-3200-cors" TargetMode="External"/><Relationship Id="rId2" Type="http://schemas.openxmlformats.org/officeDocument/2006/relationships/hyperlink" Target="https://listado.mercadolibre.com.co/memoria-ddr4-16gb" TargetMode="External"/><Relationship Id="rId3" Type="http://schemas.openxmlformats.org/officeDocument/2006/relationships/hyperlink" Target="https://tecnostock.com.co/products/crucial-laptop-ddr4-3200-mhz-sodimm-memory-module?variant=46808587370781&amp;currency=COP&amp;utm_medium=product_sync&amp;utm_source=google&amp;utm_content=sag_organic&amp;utm_campaign=sag_organic&amp;srsltid=AfmBOoqET5a1tgCjO-30b6IPBqHaFs9VneMJjDgoKfxpm8XhSgHhZF9ABDc"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ktronix.com/teclado-logitech-k120-usb/p" TargetMode="External"/><Relationship Id="rId2" Type="http://schemas.openxmlformats.org/officeDocument/2006/relationships/hyperlink" Target="https://www.exito.com/teclado-gamer-redragon-karura-k502/p" TargetMode="External"/><Relationship Id="rId3" Type="http://schemas.openxmlformats.org/officeDocument/2006/relationships/hyperlink" Target="http://alkosto.com/combo-hp-alambrico-teclado-mouse-150-negro/p/195122875534?utm_source=chatgpt.com"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lkosto.com/mouse-logitech-b100-usb/p" TargetMode="External"/><Relationship Id="rId2" Type="http://schemas.openxmlformats.org/officeDocument/2006/relationships/hyperlink" Target="https://www.panamericana.com.co/mouse-hp-150-usb/p" TargetMode="External"/><Relationship Id="rId3" Type="http://schemas.openxmlformats.org/officeDocument/2006/relationships/hyperlink" Target="http://alkosto.com/combo-hp-alambrico-teclado-mouse-150-negro/p/195122875534?utm_source=chatgpt.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exito.com/portatil-hp-15-fc0002la-ryzen3/p" TargetMode="External"/><Relationship Id="rId2" Type="http://schemas.openxmlformats.org/officeDocument/2006/relationships/hyperlink" Target="https://www.alkosto.com/portatil-lenovo-ideapad-3-ryzen5/p" TargetMode="External"/><Relationship Id="rId3" Type="http://schemas.openxmlformats.org/officeDocument/2006/relationships/hyperlink" Target="https://www.panamericana.com.co/portatil-asus-vivobook-i5/p"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lkosto.com/monitor-lg-22-pulgadas-22mr410-fhd-plano-negro/p/8806084644749" TargetMode="External"/><Relationship Id="rId2" Type="http://schemas.openxmlformats.org/officeDocument/2006/relationships/hyperlink" Target="https://www.falabella.com.co/falabella-co/product/143998999/Monitor-Samsung-LS22D310-22-Plano-FHD-Negro-75Hz/143999000" TargetMode="External"/><Relationship Id="rId3" Type="http://schemas.openxmlformats.org/officeDocument/2006/relationships/hyperlink" Target="https://www.mercadolibre.com.co/monitor-aoc-22b2hm2-22-pulgadas-full-hd-va-100hz-adapti-sync-color-negro/p/MCO45724339"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peedlogic.com.co/tienda/unidades-ssd/m-2-nvme/unidad-de-estado-solido-ssd-m2-nvme-512gb-patriot-p320-3000-x-2200/" TargetMode="External"/><Relationship Id="rId2" Type="http://schemas.openxmlformats.org/officeDocument/2006/relationships/hyperlink" Target="https://clonesyperifericos.com/comprar/ssd-adata-ultimate-su650-512gb-2-5/" TargetMode="External"/><Relationship Id="rId3" Type="http://schemas.openxmlformats.org/officeDocument/2006/relationships/hyperlink" Target="https://www.mercadolibre.com.co/ssd-adata-legend-700-512gb-m2-2280-pcie-gen3-20001600-mbs/p/MCO20489263"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mazon.com/ZimaBoard-servidor-Computadora-Almacenamiento-multimedia/dp/B0BKL7YPBQ/ref=sr_1_1_sspa?adgrpid=155794384686&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 TargetMode="External"/><Relationship Id="rId2" Type="http://schemas.openxmlformats.org/officeDocument/2006/relationships/hyperlink" Target="https://articulo.mercadolibre.com.co/MCO-2256411732-servidor-dell-power-edge-t40-intel-xeon-35-ghz-8g-1tb-_JM" TargetMode="External"/><Relationship Id="rId3" Type="http://schemas.openxmlformats.org/officeDocument/2006/relationships/hyperlink" Target="https://articulo.mercadolibre.com.co/MCO-1317854809-cpu-dell-optiplex-5090-core-i5-10ma-gen-8gb-512gb-open-box-_JM?variation="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memoria-ram-adata-ddr4-3200mhz-8gb-spectrix-d35g-negra-rgb/p/MCO32947978" TargetMode="External"/><Relationship Id="rId2" Type="http://schemas.openxmlformats.org/officeDocument/2006/relationships/hyperlink" Target="https://www.mercadolibre.com.co/memoria-ram-timetec-pinnacle-rgb-16gb-ddr4-3200mhz-gamer/p/MCO40536874?pdp_filters=item_id:MCO2722531542" TargetMode="External"/><Relationship Id="rId3" Type="http://schemas.openxmlformats.org/officeDocument/2006/relationships/hyperlink" Target="https://www.mercadolibre.com.co/memoria-ram-kingston-hyperx-fury-8gb-ddr4-3200mhz-hx432c16fb38/p/MCO22100554"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tarjeta-de-video-nvidia-gigabyte-geforce-700-series-gt-710-2gb/p/MCO17917195" TargetMode="External"/><Relationship Id="rId2" Type="http://schemas.openxmlformats.org/officeDocument/2006/relationships/hyperlink" Target="https://www.mercadolibre.com.co/tarjeta-de-video-nvidia-msi-geforce-10-series-gt-1030-oc-edition-2gb/p/MCO15185444" TargetMode="External"/><Relationship Id="rId3" Type="http://schemas.openxmlformats.org/officeDocument/2006/relationships/hyperlink" Target="https://www.falabella.com.co/falabella-co/product/145078221/Tarjeta-Grafica-Nvidea-Geforce-Gt-730-4gb-Gddr3-Pci-e-3.0/145078222"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procesador-gamer-intel-core-i5-12600kf-bx8071512600kf-de-10-nucleos-y-49ghz-de-frecuencia/p/MCO18720204?pdp_filters=item_id:MCO3079954926" TargetMode="External"/><Relationship Id="rId2" Type="http://schemas.openxmlformats.org/officeDocument/2006/relationships/hyperlink" Target="https://www.mercadolibre.com.co/procesador-gamer-amd-ryzen-5-3600-de-6-nucleos-12-hilos-y-42ghz-100-100000031box/p/MCO15143240" TargetMode="External"/><Relationship Id="rId3" Type="http://schemas.openxmlformats.org/officeDocument/2006/relationships/hyperlink" Target="https://www.mercadolibre.com.co/procesador-intel-core-i3-10100-bx8070110100-de-4-nucleos-y-43ghz-de-frecuencia-con-grafica-integrada/p/MCO15915916"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panamericana.com.co/teclado-basico-esenses-bk-107-159503/p" TargetMode="External"/><Relationship Id="rId2" Type="http://schemas.openxmlformats.org/officeDocument/2006/relationships/hyperlink" Target="https://www.mercadolibre.com.co/teclado-genius-kb-100-usb-negro/p/MCO15293170" TargetMode="External"/><Relationship Id="rId3" Type="http://schemas.openxmlformats.org/officeDocument/2006/relationships/hyperlink" Target="http://alkosto.com/combo-hp-alambrico-teclado-mouse-150-negro/p/195122875534?utm_source=chatgpt.com"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mouse-inalambrico-genius-nx-7000-calm-black-1200-dpi-3bot/p/MCO6162786" TargetMode="External"/><Relationship Id="rId2" Type="http://schemas.openxmlformats.org/officeDocument/2006/relationships/hyperlink" Target="https://www.alkosto.com/mouse-hp-alambrico-optico-100-negro/p/193905461370" TargetMode="External"/><Relationship Id="rId3" Type="http://schemas.openxmlformats.org/officeDocument/2006/relationships/hyperlink" Target="http://alkosto.com/combo-hp-alambrico-teclado-mouse-150-negro/p/195122875534?utm_source=chatgpt.com"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g2a.com/es/microsoft-visual-studio-2022-professional-pc-microsoft-key-global-i10000325952002?___currency=COP&amp;___language=es&amp;er=055c9053725c1f6ad1fd86196901382117c327559a76dd5c5643910fe11337bbf89054c37756fd128ef68cd6a66f1737&amp;uuid=6d5a73bc-30fb-4428-9094-a5b7bdf09cbe&amp;adid=GA-CO_PEB_TP_CST_PMAX_FULL&amp;id=47&amp;utm_medium=cpc&amp;utm_source=google&amp;utm_campaign=GA-CO_PEB_TP_CST_PMAX_FULL&amp;utm_id=21519124221&amp;gclsrc=aw.ds&amp;gad_source=1&amp;gad_campaignid=21525321002&amp;gbraid=0AAAAADqf3lG1TdI_6GGOhMrXj0qeYJzxJ&amp;gclid=CjwKCAiAwqHIBhAEEiwAx9cTecz1pr-SFBEjAbY1ovweknOApvquJ2lLyPZBp_EgY93cTk3udzEivBoChysQAvD_BwE" TargetMode="External"/><Relationship Id="rId2" Type="http://schemas.openxmlformats.org/officeDocument/2006/relationships/hyperlink" Target="https://revolutionsoft.com.co/programacion/microsoft-visual-studio-2022-professional.html?srsltid=AfmBOorwO7hKi656FSpT8VV_et-MSycgtVTI3STrlKb562kdpEAFMnZBb5U" TargetMode="External"/><Relationship Id="rId3" Type="http://schemas.openxmlformats.org/officeDocument/2006/relationships/hyperlink" Target="https://www.microsoft.com/es-co/d/visual-studio-professional-2022/dg7gmgf0d3sj"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tulicencias.com/product/windows-11-pro/?currency=COP&amp;utm_id=22950947926&amp;utm_source=google&amp;utm_medium=cpc&amp;utm_device=c&amp;gad_source=1&amp;gad_campaignid=22950947926&amp;gbraid=0AAAAA9_hf_BtBoJ_W_HOV9cvqzZMsNo9Q&amp;gclid=CjwKCAiAwqHIBhAEEiwAx9cTeRH0wwHIMY_lzhtRXliT-10HZtZoqaWMlZ71JP_CVfyHr4Xm9_vk1hoCYP4QAvD_BwE" TargetMode="External"/><Relationship Id="rId2" Type="http://schemas.openxmlformats.org/officeDocument/2006/relationships/hyperlink" Target="https://www.eneba.com/es/microsoft-windows-microsoft-windows-11-oem-home-key-global/digital-imperium?product=digital&amp;currency=COP&amp;utm_adid=&amp;utm_campaign=&amp;utm_content=&amp;utm_source=google-ads&amp;utm_term=&amp;gad_source=1&amp;gad_campaignid=19499769054&amp;gbraid=0AAAAAC5HeFyMi8-C1CpuGcvrjjQYIm4Zk&amp;gclid=CjwKCAiAwqHIBhAEEiwAx9cTedC9tBsn5-8-qOxXxBZpQFWP7bI8sPtcmas-BfDGbkZK_E0PLK4AKRoCi1wQAvD_BwE" TargetMode="External"/><Relationship Id="rId3" Type="http://schemas.openxmlformats.org/officeDocument/2006/relationships/hyperlink" Target="https://licenciaspccl.net/product/paquete-windows-11-pro-microsoft-office-2021-professional-plus/?utm_source=Google%20Shopping&amp;utm_campaign=USD&amp;utm_medium=cpc&amp;utm_term=1310&amp;gad_source=4&amp;gad_campaignid=22962619869&amp;gbraid=0AAAAA-acnc7QOtQRCYuYT7_q98pRJvZyU&amp;gclid=CjwKCAiAwqHIBhAEEiwAx9cTeS9hcaobEL8Kl2F5u0qxT91cjCpCsvy0scXuShy4K2OZ_HkQtai0wRoCgPwQAvD_BwE"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g2a.com/es/microsoft-sql-server-2022-standard-pc-microsoft-key-global-i10000505539001?___language=es&amp;er=1a66240df3f1d892ae5a758c232bf69a9b137b2fce36bcd73400868f8a7fe6952d24541e7cd658840a828a79ec970ee3&amp;uuid=a3efe557-68ce-4ff1-82ff-24f01f41913e&amp;adid=GA-CO_PEB_TP_CST_PMAX_FULL&amp;id=47&amp;utm_medium=cpc&amp;utm_source=google&amp;utm_campaign=GA-CO_PEB_TP_CST_PMAX_FULL&amp;utm_id=21519124221&amp;gclsrc=aw.ds&amp;gad_source=4&amp;gad_campaignid=21525321002&amp;gbraid=0AAAAADqf3lHG_YC6iKBkT5sPQ8rfvvNst&amp;gclid=CjwKCAiAwqHIBhAEEiwAx9cTeSWsk9MZAQ7A5BB8OS4yrU9TLOqsd_RtKHWUFrUgF1R0zxanl9o3dhoC4T4QAvD_BwE" TargetMode="External"/><Relationship Id="rId2" Type="http://schemas.openxmlformats.org/officeDocument/2006/relationships/hyperlink" Target="https://bodegadigital.biz/producto/licencia-sql-server-standard-2019/?srsltid=AfmBOopDDvn92o9Yja7C2ozrVl2Zyag2VVKER7g3rnIFff2Tv2usVksAExg" TargetMode="External"/><Relationship Id="rId3" Type="http://schemas.openxmlformats.org/officeDocument/2006/relationships/hyperlink" Target="https://buhodigitalcol.com/sql-server-2019/?gad_source=4&amp;gad_campaignid=22501703237&amp;gbraid=0AAAAAqHi9t8aNosOz3bNKy9jHTPZ6Bb6i&amp;gclid=CjwKCAiAwqHIBhAEEiwAx9cTecjQ7s0IS5U7RmrirdLJ5YtdhmRRQzBdKulXJKvkkVA5TOyH7NFX1hoCU44QAvD_BwE" TargetMode="External"/><Relationship Id="rId4"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t="s">
        <v>0</v>
      </c>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7" t="s">
        <v>4</v>
      </c>
      <c r="C7" s="7" t="s">
        <v>5</v>
      </c>
      <c r="D7" s="7" t="s">
        <v>6</v>
      </c>
      <c r="E7" s="7" t="s">
        <v>7</v>
      </c>
      <c r="F7" s="8" t="s">
        <v>8</v>
      </c>
      <c r="G7" s="9" t="s">
        <v>9</v>
      </c>
      <c r="H7" s="7" t="s">
        <v>10</v>
      </c>
      <c r="I7" s="7" t="s">
        <v>11</v>
      </c>
      <c r="J7" s="7" t="s">
        <v>12</v>
      </c>
      <c r="K7" s="10"/>
      <c r="L7" s="10"/>
      <c r="M7" s="10"/>
      <c r="N7" s="10"/>
      <c r="O7" s="10"/>
      <c r="P7" s="10"/>
      <c r="Q7" s="10"/>
      <c r="R7" s="10"/>
      <c r="S7" s="10"/>
      <c r="T7" s="10"/>
      <c r="U7" s="10"/>
      <c r="V7" s="10"/>
      <c r="W7" s="10"/>
      <c r="X7" s="10"/>
      <c r="Y7" s="10"/>
      <c r="Z7" s="10"/>
    </row>
    <row r="8" ht="50.25" customHeight="1">
      <c r="A8" s="11" t="s">
        <v>13</v>
      </c>
      <c r="B8" s="12" t="s">
        <v>14</v>
      </c>
      <c r="C8" s="13" t="s">
        <v>15</v>
      </c>
      <c r="D8" s="14" t="s">
        <v>16</v>
      </c>
      <c r="E8" s="15">
        <v>549000.0</v>
      </c>
      <c r="F8" s="15">
        <v>104310.0</v>
      </c>
      <c r="G8" s="16">
        <f t="shared" ref="G8:G10" si="1">(E8+F8)/3900</f>
        <v>167.5153846</v>
      </c>
      <c r="H8" s="17">
        <v>653310.0</v>
      </c>
      <c r="I8" s="18" t="s">
        <v>17</v>
      </c>
      <c r="J8" s="19" t="s">
        <v>18</v>
      </c>
    </row>
    <row r="9" ht="50.25" customHeight="1">
      <c r="A9" s="11" t="s">
        <v>19</v>
      </c>
      <c r="B9" s="20" t="s">
        <v>20</v>
      </c>
      <c r="C9" s="13" t="s">
        <v>21</v>
      </c>
      <c r="D9" s="21" t="s">
        <v>22</v>
      </c>
      <c r="E9" s="15"/>
      <c r="F9" s="15">
        <v>111081.0</v>
      </c>
      <c r="G9" s="16">
        <f t="shared" si="1"/>
        <v>28.48230769</v>
      </c>
      <c r="H9" s="17">
        <v>700981.0</v>
      </c>
      <c r="I9" s="18" t="s">
        <v>17</v>
      </c>
      <c r="J9" s="22" t="s">
        <v>23</v>
      </c>
    </row>
    <row r="10" ht="50.25" customHeight="1">
      <c r="A10" s="11" t="s">
        <v>24</v>
      </c>
      <c r="B10" s="12" t="s">
        <v>25</v>
      </c>
      <c r="C10" s="13" t="s">
        <v>26</v>
      </c>
      <c r="D10" s="23" t="s">
        <v>27</v>
      </c>
      <c r="E10" s="15">
        <v>499000.0</v>
      </c>
      <c r="F10" s="15">
        <v>94810.0</v>
      </c>
      <c r="G10" s="16">
        <f t="shared" si="1"/>
        <v>152.2589744</v>
      </c>
      <c r="H10" s="17">
        <v>593810.0</v>
      </c>
      <c r="I10" s="18" t="s">
        <v>17</v>
      </c>
      <c r="J10" s="24" t="s">
        <v>28</v>
      </c>
    </row>
    <row r="11" ht="15.0" hidden="1" customHeight="1">
      <c r="A11" s="25"/>
      <c r="B11" s="26"/>
      <c r="C11" s="26"/>
      <c r="D11" s="26"/>
      <c r="E11" s="26"/>
      <c r="F11" s="26"/>
      <c r="G11" s="26"/>
      <c r="H11" s="26"/>
      <c r="I11" s="26"/>
      <c r="J11" s="26"/>
    </row>
    <row r="12" ht="12.75" customHeight="1"/>
    <row r="13" ht="138.75" customHeight="1">
      <c r="A13" s="27" t="s">
        <v>29</v>
      </c>
      <c r="B13" s="4"/>
      <c r="C13" s="4"/>
      <c r="D13" s="4"/>
      <c r="E13" s="4"/>
      <c r="F13" s="4"/>
      <c r="G13" s="4"/>
      <c r="H13" s="4"/>
      <c r="I13" s="4"/>
      <c r="J13" s="5"/>
    </row>
    <row r="14" ht="12.75" customHeight="1"/>
    <row r="15" ht="75.0" customHeight="1">
      <c r="A15" s="27" t="s">
        <v>30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30" t="s">
        <v>31</v>
      </c>
      <c r="C7" s="30" t="s">
        <v>32</v>
      </c>
      <c r="D7" s="30" t="s">
        <v>33</v>
      </c>
      <c r="E7" s="30" t="s">
        <v>34</v>
      </c>
      <c r="F7" s="31" t="s">
        <v>35</v>
      </c>
      <c r="G7" s="9" t="s">
        <v>36</v>
      </c>
      <c r="H7" s="30" t="s">
        <v>10</v>
      </c>
      <c r="I7" s="30" t="s">
        <v>37</v>
      </c>
      <c r="J7" s="30" t="s">
        <v>38</v>
      </c>
      <c r="K7" s="10"/>
      <c r="L7" s="10"/>
      <c r="M7" s="10"/>
      <c r="N7" s="10"/>
      <c r="O7" s="10"/>
      <c r="P7" s="10"/>
      <c r="Q7" s="10"/>
      <c r="R7" s="10"/>
      <c r="S7" s="10"/>
      <c r="T7" s="10"/>
      <c r="U7" s="10"/>
      <c r="V7" s="10"/>
      <c r="W7" s="10"/>
      <c r="X7" s="10"/>
      <c r="Y7" s="10"/>
      <c r="Z7" s="10"/>
    </row>
    <row r="8" ht="75.0" customHeight="1">
      <c r="A8" s="30" t="s">
        <v>13</v>
      </c>
      <c r="B8" s="32" t="s">
        <v>39</v>
      </c>
      <c r="C8" s="33" t="s">
        <v>40</v>
      </c>
      <c r="D8" s="34" t="s">
        <v>41</v>
      </c>
      <c r="E8" s="35">
        <v>715300.0</v>
      </c>
      <c r="F8" s="35">
        <v>135907.0</v>
      </c>
      <c r="G8" s="36">
        <f t="shared" ref="G8:G10" si="1">(E8+F8)/3900</f>
        <v>218.2582051</v>
      </c>
      <c r="H8" s="37">
        <f t="shared" ref="H8:H10" si="2">G8*3900</f>
        <v>851207</v>
      </c>
      <c r="I8" s="34" t="s">
        <v>17</v>
      </c>
      <c r="J8" s="38" t="s">
        <v>42</v>
      </c>
    </row>
    <row r="9" ht="50.25" customHeight="1">
      <c r="A9" s="30" t="s">
        <v>19</v>
      </c>
      <c r="B9" s="32" t="s">
        <v>43</v>
      </c>
      <c r="C9" s="39" t="s">
        <v>44</v>
      </c>
      <c r="D9" s="40" t="s">
        <v>45</v>
      </c>
      <c r="E9" s="35">
        <v>699000.0</v>
      </c>
      <c r="F9" s="35">
        <v>132810.0</v>
      </c>
      <c r="G9" s="36">
        <f t="shared" si="1"/>
        <v>213.2846154</v>
      </c>
      <c r="H9" s="37">
        <f t="shared" si="2"/>
        <v>831810</v>
      </c>
      <c r="I9" s="34" t="s">
        <v>17</v>
      </c>
      <c r="J9" s="41" t="s">
        <v>46</v>
      </c>
    </row>
    <row r="10" ht="50.25" customHeight="1">
      <c r="A10" s="30" t="s">
        <v>24</v>
      </c>
      <c r="B10" s="32" t="s">
        <v>43</v>
      </c>
      <c r="C10" s="42" t="s">
        <v>47</v>
      </c>
      <c r="D10" s="43" t="s">
        <v>48</v>
      </c>
      <c r="E10" s="44">
        <v>1199900.0</v>
      </c>
      <c r="F10" s="35">
        <v>227981.0</v>
      </c>
      <c r="G10" s="36">
        <f t="shared" si="1"/>
        <v>366.1233333</v>
      </c>
      <c r="H10" s="37">
        <f t="shared" si="2"/>
        <v>1427881</v>
      </c>
      <c r="I10" s="34" t="s">
        <v>17</v>
      </c>
      <c r="J10" s="41" t="s">
        <v>49</v>
      </c>
    </row>
    <row r="11" ht="15.0" hidden="1" customHeight="1">
      <c r="A11" s="25"/>
      <c r="B11" s="26"/>
      <c r="C11" s="26"/>
      <c r="D11" s="26"/>
      <c r="E11" s="26"/>
      <c r="F11" s="26"/>
      <c r="G11" s="26"/>
      <c r="H11" s="26"/>
      <c r="I11" s="26"/>
      <c r="J11" s="26"/>
    </row>
    <row r="12" ht="12.75" customHeight="1"/>
    <row r="13" ht="138.75" customHeight="1">
      <c r="A13" s="27" t="s">
        <v>50</v>
      </c>
      <c r="B13" s="4"/>
      <c r="C13" s="4"/>
      <c r="D13" s="4"/>
      <c r="E13" s="4"/>
      <c r="F13" s="4"/>
      <c r="G13" s="4"/>
      <c r="H13" s="4"/>
      <c r="I13" s="4"/>
      <c r="J13" s="5"/>
    </row>
    <row r="14" ht="12.75" customHeight="1"/>
    <row r="15" ht="75.0" customHeight="1">
      <c r="A15" s="27" t="s">
        <v>51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45" t="s">
        <v>3</v>
      </c>
      <c r="B7" s="46" t="s">
        <v>52</v>
      </c>
      <c r="C7" s="46" t="s">
        <v>53</v>
      </c>
      <c r="D7" s="46" t="s">
        <v>54</v>
      </c>
      <c r="E7" s="46" t="s">
        <v>55</v>
      </c>
      <c r="F7" s="47" t="s">
        <v>56</v>
      </c>
      <c r="G7" s="48" t="s">
        <v>57</v>
      </c>
      <c r="H7" s="46" t="s">
        <v>10</v>
      </c>
      <c r="I7" s="46" t="s">
        <v>58</v>
      </c>
      <c r="J7" s="46" t="s">
        <v>59</v>
      </c>
      <c r="K7" s="10"/>
      <c r="L7" s="10"/>
      <c r="M7" s="10"/>
      <c r="N7" s="10"/>
      <c r="O7" s="10"/>
      <c r="P7" s="10"/>
      <c r="Q7" s="10"/>
      <c r="R7" s="10"/>
      <c r="S7" s="10"/>
      <c r="T7" s="10"/>
      <c r="U7" s="10"/>
      <c r="V7" s="10"/>
      <c r="W7" s="10"/>
      <c r="X7" s="10"/>
      <c r="Y7" s="10"/>
      <c r="Z7" s="10"/>
    </row>
    <row r="8" ht="50.25" customHeight="1">
      <c r="A8" s="11" t="s">
        <v>13</v>
      </c>
      <c r="B8" s="34" t="s">
        <v>14</v>
      </c>
      <c r="C8" s="42" t="s">
        <v>60</v>
      </c>
      <c r="D8" s="49" t="s">
        <v>61</v>
      </c>
      <c r="E8" s="44">
        <v>159900.0</v>
      </c>
      <c r="F8" s="35">
        <v>30381.0</v>
      </c>
      <c r="G8" s="36">
        <f t="shared" ref="G8:G10" si="1">(E8+F8)/3900</f>
        <v>48.79</v>
      </c>
      <c r="H8" s="37">
        <f t="shared" ref="H8:H10" si="2">G8*3900</f>
        <v>190281</v>
      </c>
      <c r="I8" s="34" t="s">
        <v>62</v>
      </c>
      <c r="J8" s="50" t="s">
        <v>63</v>
      </c>
    </row>
    <row r="9" ht="77.25" customHeight="1">
      <c r="A9" s="11" t="s">
        <v>19</v>
      </c>
      <c r="B9" s="51" t="s">
        <v>64</v>
      </c>
      <c r="C9" s="42" t="s">
        <v>65</v>
      </c>
      <c r="D9" s="52" t="s">
        <v>66</v>
      </c>
      <c r="E9" s="44">
        <v>549900.0</v>
      </c>
      <c r="F9" s="34">
        <v>104481.0</v>
      </c>
      <c r="G9" s="36">
        <f t="shared" si="1"/>
        <v>167.79</v>
      </c>
      <c r="H9" s="37">
        <f t="shared" si="2"/>
        <v>654381</v>
      </c>
      <c r="I9" s="34" t="s">
        <v>62</v>
      </c>
      <c r="J9" s="53" t="s">
        <v>67</v>
      </c>
    </row>
    <row r="10" ht="50.25" customHeight="1">
      <c r="A10" s="11" t="s">
        <v>24</v>
      </c>
      <c r="B10" s="54" t="s">
        <v>68</v>
      </c>
      <c r="C10" s="34" t="s">
        <v>69</v>
      </c>
      <c r="D10" s="54" t="s">
        <v>66</v>
      </c>
      <c r="E10" s="55">
        <v>304900.0</v>
      </c>
      <c r="F10" s="54">
        <v>57931.0</v>
      </c>
      <c r="G10" s="36">
        <f t="shared" si="1"/>
        <v>93.03358974</v>
      </c>
      <c r="H10" s="37">
        <f t="shared" si="2"/>
        <v>362831</v>
      </c>
      <c r="I10" s="34" t="s">
        <v>62</v>
      </c>
      <c r="J10" s="56"/>
    </row>
    <row r="11" ht="15.0" hidden="1" customHeight="1">
      <c r="A11" s="25"/>
      <c r="B11" s="56"/>
      <c r="C11" s="34">
        <v>3.00892144E9</v>
      </c>
      <c r="D11" s="56"/>
      <c r="E11" s="56"/>
      <c r="F11" s="56"/>
      <c r="G11" s="57"/>
      <c r="H11" s="57"/>
      <c r="I11" s="57"/>
      <c r="J11" s="57"/>
    </row>
    <row r="12" ht="12.75" customHeight="1"/>
    <row r="13" ht="138.75" customHeight="1">
      <c r="A13" s="27" t="s">
        <v>70</v>
      </c>
      <c r="B13" s="4"/>
      <c r="C13" s="4"/>
      <c r="D13" s="4"/>
      <c r="E13" s="4"/>
      <c r="F13" s="4"/>
      <c r="G13" s="4"/>
      <c r="H13" s="4"/>
      <c r="I13" s="4"/>
      <c r="J13" s="5"/>
    </row>
    <row r="14" ht="12.75" customHeight="1"/>
    <row r="15" ht="75.0" customHeight="1">
      <c r="A15" s="27" t="s">
        <v>71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13:J13"/>
    <mergeCell ref="A15:J15"/>
    <mergeCell ref="D2:H2"/>
    <mergeCell ref="A5:J5"/>
    <mergeCell ref="J9:J10"/>
    <mergeCell ref="B10:B11"/>
    <mergeCell ref="D10:D11"/>
    <mergeCell ref="E10:E11"/>
    <mergeCell ref="F10:F11"/>
  </mergeCells>
  <hyperlinks>
    <hyperlink r:id="rId1" location="searchVariation=MCO19614825&amp;position=2&amp;search_layout=stack&amp;type=product&amp;tracking_id=aa8e5d63-5d99-467d-8939-e0e1b492ed9b" ref="C8"/>
    <hyperlink r:id="rId2" ref="C9"/>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72</v>
      </c>
      <c r="C7" s="46" t="s">
        <v>73</v>
      </c>
      <c r="D7" s="46" t="s">
        <v>74</v>
      </c>
      <c r="E7" s="46" t="s">
        <v>75</v>
      </c>
      <c r="F7" s="47" t="s">
        <v>76</v>
      </c>
      <c r="G7" s="48" t="s">
        <v>77</v>
      </c>
      <c r="H7" s="46" t="s">
        <v>10</v>
      </c>
      <c r="I7" s="46" t="s">
        <v>78</v>
      </c>
      <c r="J7" s="46" t="s">
        <v>79</v>
      </c>
      <c r="K7" s="10"/>
      <c r="L7" s="10"/>
      <c r="M7" s="10"/>
      <c r="N7" s="10"/>
      <c r="O7" s="10"/>
      <c r="P7" s="10"/>
      <c r="Q7" s="10"/>
      <c r="R7" s="10"/>
      <c r="S7" s="10"/>
      <c r="T7" s="10"/>
      <c r="U7" s="10"/>
      <c r="V7" s="10"/>
      <c r="W7" s="10"/>
      <c r="X7" s="10"/>
      <c r="Y7" s="10"/>
      <c r="Z7" s="10"/>
    </row>
    <row r="8" ht="50.25" customHeight="1">
      <c r="A8" s="58" t="s">
        <v>13</v>
      </c>
      <c r="B8" s="34" t="s">
        <v>80</v>
      </c>
      <c r="C8" s="42" t="s">
        <v>81</v>
      </c>
      <c r="D8" s="59" t="s">
        <v>82</v>
      </c>
      <c r="E8" s="60">
        <v>102000.0</v>
      </c>
      <c r="F8" s="61">
        <f t="shared" ref="F8:F10" si="1">E8*1.19</f>
        <v>121380</v>
      </c>
      <c r="G8" s="62">
        <f t="shared" ref="G8:G10" si="2">(E8+F8)/3900</f>
        <v>57.27692308</v>
      </c>
      <c r="H8" s="37">
        <f t="shared" ref="H8:H10" si="3">G8*3900</f>
        <v>223380</v>
      </c>
      <c r="I8" s="34" t="s">
        <v>62</v>
      </c>
      <c r="J8" s="63" t="s">
        <v>83</v>
      </c>
    </row>
    <row r="9" ht="50.25" customHeight="1">
      <c r="A9" s="58" t="s">
        <v>19</v>
      </c>
      <c r="B9" s="34" t="s">
        <v>84</v>
      </c>
      <c r="C9" s="42" t="s">
        <v>85</v>
      </c>
      <c r="D9" s="43" t="s">
        <v>86</v>
      </c>
      <c r="E9" s="60">
        <v>399900.0</v>
      </c>
      <c r="F9" s="61">
        <f t="shared" si="1"/>
        <v>475881</v>
      </c>
      <c r="G9" s="62">
        <f t="shared" si="2"/>
        <v>224.5592308</v>
      </c>
      <c r="H9" s="37">
        <f t="shared" si="3"/>
        <v>875781</v>
      </c>
      <c r="I9" s="34" t="s">
        <v>62</v>
      </c>
      <c r="J9" s="63" t="s">
        <v>83</v>
      </c>
    </row>
    <row r="10" ht="50.25" customHeight="1">
      <c r="A10" s="58" t="s">
        <v>24</v>
      </c>
      <c r="B10" s="34" t="s">
        <v>87</v>
      </c>
      <c r="C10" s="34" t="s">
        <v>88</v>
      </c>
      <c r="D10" s="34" t="s">
        <v>86</v>
      </c>
      <c r="E10" s="61">
        <v>220000.0</v>
      </c>
      <c r="F10" s="61">
        <f t="shared" si="1"/>
        <v>261800</v>
      </c>
      <c r="G10" s="62">
        <f t="shared" si="2"/>
        <v>123.5384615</v>
      </c>
      <c r="H10" s="37">
        <f t="shared" si="3"/>
        <v>481800</v>
      </c>
      <c r="I10" s="34" t="s">
        <v>62</v>
      </c>
      <c r="J10" s="34"/>
    </row>
    <row r="11" ht="15.0" hidden="1" customHeight="1">
      <c r="A11" s="25"/>
      <c r="B11" s="64"/>
      <c r="C11" s="64"/>
      <c r="D11" s="64"/>
      <c r="E11" s="64"/>
      <c r="F11" s="64"/>
      <c r="G11" s="64"/>
      <c r="H11" s="64"/>
      <c r="I11" s="64"/>
      <c r="J11" s="64"/>
    </row>
    <row r="12" ht="12.75" customHeight="1"/>
    <row r="13" ht="138.75" customHeight="1">
      <c r="A13" s="27" t="s">
        <v>89</v>
      </c>
      <c r="B13" s="4"/>
      <c r="C13" s="4"/>
      <c r="D13" s="4"/>
      <c r="E13" s="4"/>
      <c r="F13" s="4"/>
      <c r="G13" s="4"/>
      <c r="H13" s="4"/>
      <c r="I13" s="4"/>
      <c r="J13" s="5"/>
    </row>
    <row r="14" ht="12.75" customHeight="1"/>
    <row r="15" ht="75.0" customHeight="1">
      <c r="A15" s="27" t="s">
        <v>90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searchVariation=MCO19035706&amp;position=7&amp;search_layout=stack&amp;type=product&amp;tracking_id=d2347602-d832-46e2-b62a-c4c325617137" ref="C8"/>
    <hyperlink r:id="rId2" ref="C9"/>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91</v>
      </c>
      <c r="C7" s="46" t="s">
        <v>92</v>
      </c>
      <c r="D7" s="46" t="s">
        <v>93</v>
      </c>
      <c r="E7" s="46" t="s">
        <v>94</v>
      </c>
      <c r="F7" s="47" t="s">
        <v>95</v>
      </c>
      <c r="G7" s="65" t="s">
        <v>96</v>
      </c>
      <c r="H7" s="46" t="s">
        <v>10</v>
      </c>
      <c r="I7" s="46" t="s">
        <v>97</v>
      </c>
      <c r="J7" s="46" t="s">
        <v>98</v>
      </c>
      <c r="K7" s="10"/>
      <c r="L7" s="10"/>
      <c r="M7" s="10"/>
      <c r="N7" s="10"/>
      <c r="O7" s="10"/>
      <c r="P7" s="10"/>
      <c r="Q7" s="10"/>
      <c r="R7" s="10"/>
      <c r="S7" s="10"/>
      <c r="T7" s="10"/>
      <c r="U7" s="10"/>
      <c r="V7" s="10"/>
      <c r="W7" s="10"/>
      <c r="X7" s="10"/>
      <c r="Y7" s="10"/>
      <c r="Z7" s="10"/>
    </row>
    <row r="8" ht="50.25" customHeight="1">
      <c r="A8" s="58" t="s">
        <v>13</v>
      </c>
      <c r="B8" s="34" t="s">
        <v>99</v>
      </c>
      <c r="C8" s="66" t="s">
        <v>100</v>
      </c>
      <c r="D8" s="67" t="s">
        <v>101</v>
      </c>
      <c r="E8" s="68">
        <v>2000000.0</v>
      </c>
      <c r="F8" s="61">
        <f t="shared" ref="F8:F10" si="1">E8*1.19</f>
        <v>2380000</v>
      </c>
      <c r="G8" s="69">
        <v>616.34</v>
      </c>
      <c r="H8" s="37">
        <f t="shared" ref="H8:H10" si="2">G8*3900</f>
        <v>2403726</v>
      </c>
      <c r="I8" s="34" t="s">
        <v>62</v>
      </c>
      <c r="J8" s="70"/>
    </row>
    <row r="9" ht="50.25" customHeight="1">
      <c r="A9" s="58" t="s">
        <v>19</v>
      </c>
      <c r="B9" s="51" t="s">
        <v>14</v>
      </c>
      <c r="C9" s="66" t="s">
        <v>102</v>
      </c>
      <c r="D9" s="14" t="s">
        <v>103</v>
      </c>
      <c r="E9" s="71">
        <v>1300000.0</v>
      </c>
      <c r="F9" s="61">
        <f t="shared" si="1"/>
        <v>1547000</v>
      </c>
      <c r="G9" s="69">
        <v>400.62</v>
      </c>
      <c r="H9" s="37">
        <f t="shared" si="2"/>
        <v>1562418</v>
      </c>
      <c r="I9" s="34" t="s">
        <v>62</v>
      </c>
      <c r="J9" s="63"/>
    </row>
    <row r="10" ht="50.25" customHeight="1">
      <c r="A10" s="58" t="s">
        <v>24</v>
      </c>
      <c r="B10" s="34" t="s">
        <v>14</v>
      </c>
      <c r="C10" s="66" t="s">
        <v>104</v>
      </c>
      <c r="D10" s="72" t="s">
        <v>105</v>
      </c>
      <c r="E10" s="71">
        <v>1390000.0</v>
      </c>
      <c r="F10" s="61">
        <f t="shared" si="1"/>
        <v>1654100</v>
      </c>
      <c r="G10" s="69">
        <v>428.35</v>
      </c>
      <c r="H10" s="37">
        <f t="shared" si="2"/>
        <v>1670565</v>
      </c>
      <c r="I10" s="34" t="s">
        <v>62</v>
      </c>
      <c r="J10" s="34"/>
    </row>
    <row r="11" ht="15.0" hidden="1" customHeight="1">
      <c r="A11" s="25"/>
      <c r="B11" s="64"/>
      <c r="C11" s="64"/>
      <c r="D11" s="64"/>
      <c r="E11" s="64"/>
      <c r="F11" s="64"/>
      <c r="G11" s="64"/>
      <c r="H11" s="64"/>
      <c r="I11" s="64"/>
      <c r="J11" s="64"/>
    </row>
    <row r="12" ht="12.75" customHeight="1"/>
    <row r="13" ht="138.75" customHeight="1">
      <c r="A13" s="27" t="s">
        <v>106</v>
      </c>
      <c r="B13" s="4"/>
      <c r="C13" s="4"/>
      <c r="D13" s="4"/>
      <c r="E13" s="4"/>
      <c r="F13" s="4"/>
      <c r="G13" s="4"/>
      <c r="H13" s="4"/>
      <c r="I13" s="4"/>
      <c r="J13" s="5"/>
    </row>
    <row r="14" ht="12.75" customHeight="1"/>
    <row r="15" ht="75.0" customHeight="1">
      <c r="A15" s="27" t="s">
        <v>107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nordic&amp;search_layout=stack&amp;position=4&amp;type=product&amp;tracking_id=4fc7c903-2203-44d9-aebc-ba122640b93a&amp;wid=MCO1318922175&amp;sid=search" ref="C8"/>
    <hyperlink r:id="rId2" location="polycard_client=search-nordic&amp;search_layout=stack&amp;position=17&amp;type=product&amp;tracking_id=829c51ba-fcda-4fae-8e77-239ccea5cbc7&amp;wid=MCO1536679709&amp;sid=search" ref="C9"/>
    <hyperlink r:id="rId3" location="polycard_client=search-nordic&amp;search_layout=stack&amp;position=20&amp;type=product&amp;tracking_id=cf954a9d-0789-4596-bf49-681203aabf7d&amp;wid=MCO1560445859&amp;sid=search"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108</v>
      </c>
      <c r="C7" s="46" t="s">
        <v>109</v>
      </c>
      <c r="D7" s="46" t="s">
        <v>110</v>
      </c>
      <c r="E7" s="46" t="s">
        <v>111</v>
      </c>
      <c r="F7" s="47" t="s">
        <v>112</v>
      </c>
      <c r="G7" s="48" t="s">
        <v>113</v>
      </c>
      <c r="H7" s="46" t="s">
        <v>10</v>
      </c>
      <c r="I7" s="46" t="s">
        <v>114</v>
      </c>
      <c r="J7" s="46" t="s">
        <v>115</v>
      </c>
      <c r="K7" s="10"/>
      <c r="L7" s="10"/>
      <c r="M7" s="10"/>
      <c r="N7" s="10"/>
      <c r="O7" s="10"/>
      <c r="P7" s="10"/>
      <c r="Q7" s="10"/>
      <c r="R7" s="10"/>
      <c r="S7" s="10"/>
      <c r="T7" s="10"/>
      <c r="U7" s="10"/>
      <c r="V7" s="10"/>
      <c r="W7" s="10"/>
      <c r="X7" s="10"/>
      <c r="Y7" s="10"/>
      <c r="Z7" s="10"/>
    </row>
    <row r="8" ht="50.25" customHeight="1">
      <c r="A8" s="58" t="s">
        <v>13</v>
      </c>
      <c r="B8" s="34" t="s">
        <v>116</v>
      </c>
      <c r="C8" s="42" t="s">
        <v>117</v>
      </c>
      <c r="D8" s="73" t="s">
        <v>118</v>
      </c>
      <c r="E8" s="61">
        <v>399000.0</v>
      </c>
      <c r="F8" s="61">
        <f t="shared" ref="F8:F10" si="1">E8*1.19</f>
        <v>474810</v>
      </c>
      <c r="G8" s="36">
        <f t="shared" ref="G8:G10" si="2">(F8+E8)/3900</f>
        <v>224.0538462</v>
      </c>
      <c r="H8" s="37">
        <f t="shared" ref="H8:H10" si="3">G8*3900</f>
        <v>873810</v>
      </c>
      <c r="I8" s="34" t="s">
        <v>17</v>
      </c>
      <c r="J8" s="63" t="s">
        <v>119</v>
      </c>
    </row>
    <row r="9" ht="50.25" customHeight="1">
      <c r="A9" s="58" t="s">
        <v>19</v>
      </c>
      <c r="B9" s="51" t="s">
        <v>120</v>
      </c>
      <c r="C9" s="42" t="s">
        <v>121</v>
      </c>
      <c r="D9" s="63" t="s">
        <v>122</v>
      </c>
      <c r="E9" s="60">
        <v>180039.0</v>
      </c>
      <c r="F9" s="61">
        <f t="shared" si="1"/>
        <v>214246.41</v>
      </c>
      <c r="G9" s="36">
        <f t="shared" si="2"/>
        <v>101.0988231</v>
      </c>
      <c r="H9" s="37">
        <f t="shared" si="3"/>
        <v>394285.41</v>
      </c>
      <c r="I9" s="34" t="s">
        <v>17</v>
      </c>
      <c r="J9" s="63" t="s">
        <v>123</v>
      </c>
    </row>
    <row r="10" ht="50.25" customHeight="1">
      <c r="A10" s="58" t="s">
        <v>24</v>
      </c>
      <c r="B10" s="34" t="s">
        <v>124</v>
      </c>
      <c r="C10" s="42" t="s">
        <v>125</v>
      </c>
      <c r="D10" s="74" t="s">
        <v>126</v>
      </c>
      <c r="E10" s="60">
        <v>99000.0</v>
      </c>
      <c r="F10" s="61">
        <f t="shared" si="1"/>
        <v>117810</v>
      </c>
      <c r="G10" s="36">
        <f t="shared" si="2"/>
        <v>55.59230769</v>
      </c>
      <c r="H10" s="37">
        <f t="shared" si="3"/>
        <v>216810</v>
      </c>
      <c r="I10" s="34" t="s">
        <v>17</v>
      </c>
      <c r="J10" s="75" t="s">
        <v>127</v>
      </c>
    </row>
    <row r="11" ht="15.0" hidden="1" customHeight="1">
      <c r="A11" s="25"/>
      <c r="B11" s="64"/>
      <c r="C11" s="64"/>
      <c r="D11" s="64"/>
      <c r="E11" s="64"/>
      <c r="F11" s="64"/>
      <c r="G11" s="64"/>
      <c r="H11" s="64"/>
      <c r="I11" s="64"/>
      <c r="J11" s="64"/>
    </row>
    <row r="12" ht="12.75" customHeight="1"/>
    <row r="13" ht="138.75" customHeight="1">
      <c r="A13" s="27" t="s">
        <v>128</v>
      </c>
      <c r="B13" s="4"/>
      <c r="C13" s="4"/>
      <c r="D13" s="4"/>
      <c r="E13" s="4"/>
      <c r="F13" s="4"/>
      <c r="G13" s="4"/>
      <c r="H13" s="4"/>
      <c r="I13" s="4"/>
      <c r="J13" s="5"/>
    </row>
    <row r="14" ht="12.75" customHeight="1"/>
    <row r="15" ht="75.0" customHeight="1">
      <c r="A15" s="27" t="s">
        <v>129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76">
        <v>0.0</v>
      </c>
      <c r="B5" s="4"/>
      <c r="C5" s="4"/>
      <c r="D5" s="4"/>
      <c r="E5" s="4"/>
      <c r="F5" s="4"/>
      <c r="G5" s="4"/>
      <c r="H5" s="4"/>
      <c r="I5" s="4"/>
      <c r="J5" s="5"/>
    </row>
    <row r="6" ht="15.75" customHeight="1"/>
    <row r="7" ht="75.75" customHeight="1">
      <c r="A7" s="6" t="s">
        <v>3</v>
      </c>
      <c r="B7" s="46" t="s">
        <v>130</v>
      </c>
      <c r="C7" s="46" t="s">
        <v>131</v>
      </c>
      <c r="D7" s="46" t="s">
        <v>132</v>
      </c>
      <c r="E7" s="46" t="s">
        <v>133</v>
      </c>
      <c r="F7" s="47" t="s">
        <v>134</v>
      </c>
      <c r="G7" s="48" t="s">
        <v>135</v>
      </c>
      <c r="H7" s="46" t="s">
        <v>10</v>
      </c>
      <c r="I7" s="46" t="s">
        <v>136</v>
      </c>
      <c r="J7" s="46" t="s">
        <v>137</v>
      </c>
      <c r="K7" s="10"/>
      <c r="L7" s="10"/>
      <c r="M7" s="10"/>
      <c r="N7" s="10"/>
      <c r="O7" s="10"/>
      <c r="P7" s="10"/>
      <c r="Q7" s="10"/>
      <c r="R7" s="10"/>
      <c r="S7" s="10"/>
      <c r="T7" s="10"/>
      <c r="U7" s="10"/>
      <c r="V7" s="10"/>
      <c r="W7" s="10"/>
      <c r="X7" s="10"/>
      <c r="Y7" s="10"/>
      <c r="Z7" s="10"/>
    </row>
    <row r="8" ht="50.25" customHeight="1">
      <c r="A8" s="58" t="s">
        <v>13</v>
      </c>
      <c r="B8" s="34" t="s">
        <v>138</v>
      </c>
      <c r="C8" s="42" t="s">
        <v>139</v>
      </c>
      <c r="D8" s="52" t="s">
        <v>140</v>
      </c>
      <c r="E8" s="77">
        <v>69900.0</v>
      </c>
      <c r="F8" s="61">
        <v>83181.0</v>
      </c>
      <c r="G8" s="36">
        <v>17.7</v>
      </c>
      <c r="H8" s="37">
        <v>4700.0</v>
      </c>
      <c r="I8" s="34" t="s">
        <v>17</v>
      </c>
      <c r="J8" s="78" t="s">
        <v>141</v>
      </c>
    </row>
    <row r="9" ht="50.25" customHeight="1">
      <c r="A9" s="58" t="s">
        <v>19</v>
      </c>
      <c r="B9" s="51" t="s">
        <v>142</v>
      </c>
      <c r="C9" s="42" t="s">
        <v>143</v>
      </c>
      <c r="D9" s="43" t="s">
        <v>144</v>
      </c>
      <c r="E9" s="79">
        <v>159900.0</v>
      </c>
      <c r="F9" s="61">
        <v>190281.0</v>
      </c>
      <c r="G9" s="36">
        <v>40.49</v>
      </c>
      <c r="H9" s="37">
        <v>4700.0</v>
      </c>
      <c r="I9" s="34" t="s">
        <v>17</v>
      </c>
      <c r="J9" s="41" t="s">
        <v>145</v>
      </c>
    </row>
    <row r="10" ht="50.25" customHeight="1">
      <c r="A10" s="58" t="s">
        <v>24</v>
      </c>
      <c r="B10" s="80" t="s">
        <v>146</v>
      </c>
      <c r="C10" s="66" t="s">
        <v>147</v>
      </c>
      <c r="D10" s="81" t="s">
        <v>148</v>
      </c>
      <c r="E10" s="82">
        <v>119900.0</v>
      </c>
      <c r="F10" s="82">
        <v>142681.0</v>
      </c>
      <c r="G10" s="69">
        <v>36.52</v>
      </c>
      <c r="H10" s="37">
        <v>4700.0</v>
      </c>
      <c r="I10" s="34" t="s">
        <v>17</v>
      </c>
      <c r="J10" s="83" t="s">
        <v>149</v>
      </c>
    </row>
    <row r="11" ht="15.0" hidden="1" customHeight="1">
      <c r="A11" s="84"/>
      <c r="B11" s="56"/>
      <c r="C11" s="34" t="s">
        <v>150</v>
      </c>
      <c r="D11" s="56"/>
      <c r="E11" s="56"/>
      <c r="F11" s="56"/>
      <c r="G11" s="57"/>
      <c r="H11" s="57"/>
      <c r="I11" s="57"/>
      <c r="J11" s="57"/>
    </row>
    <row r="12" ht="12.75" customHeight="1"/>
    <row r="13" ht="138.75" customHeight="1">
      <c r="A13" s="27" t="s">
        <v>151</v>
      </c>
      <c r="B13" s="4"/>
      <c r="C13" s="4"/>
      <c r="D13" s="4"/>
      <c r="E13" s="4"/>
      <c r="F13" s="4"/>
      <c r="G13" s="4"/>
      <c r="H13" s="4"/>
      <c r="I13" s="4"/>
      <c r="J13" s="5"/>
    </row>
    <row r="14" ht="12.75" customHeight="1"/>
    <row r="15" ht="75.0" customHeight="1">
      <c r="A15" s="27" t="s">
        <v>152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153</v>
      </c>
      <c r="C7" s="46" t="s">
        <v>154</v>
      </c>
      <c r="D7" s="46" t="s">
        <v>155</v>
      </c>
      <c r="E7" s="46" t="s">
        <v>156</v>
      </c>
      <c r="F7" s="47" t="s">
        <v>157</v>
      </c>
      <c r="G7" s="48" t="s">
        <v>158</v>
      </c>
      <c r="H7" s="46" t="s">
        <v>10</v>
      </c>
      <c r="I7" s="46" t="s">
        <v>159</v>
      </c>
      <c r="J7" s="46" t="s">
        <v>160</v>
      </c>
      <c r="K7" s="10"/>
      <c r="L7" s="10"/>
      <c r="M7" s="10"/>
      <c r="N7" s="10"/>
      <c r="O7" s="10"/>
      <c r="P7" s="10"/>
      <c r="Q7" s="10"/>
      <c r="R7" s="10"/>
      <c r="S7" s="10"/>
      <c r="T7" s="10"/>
      <c r="U7" s="10"/>
      <c r="V7" s="10"/>
      <c r="W7" s="10"/>
      <c r="X7" s="10"/>
      <c r="Y7" s="10"/>
      <c r="Z7" s="10"/>
    </row>
    <row r="8" ht="50.25" customHeight="1">
      <c r="A8" s="58" t="s">
        <v>13</v>
      </c>
      <c r="B8" s="34" t="s">
        <v>161</v>
      </c>
      <c r="C8" s="42" t="s">
        <v>162</v>
      </c>
      <c r="D8" s="85" t="s">
        <v>163</v>
      </c>
      <c r="E8" s="60">
        <v>34900.0</v>
      </c>
      <c r="F8" s="61">
        <f t="shared" ref="F8:F10" si="1">E8*1.19</f>
        <v>41531</v>
      </c>
      <c r="G8" s="36">
        <v>8.83</v>
      </c>
      <c r="H8" s="86">
        <v>4700.0</v>
      </c>
      <c r="I8" s="87" t="s">
        <v>62</v>
      </c>
      <c r="J8" s="88" t="s">
        <v>141</v>
      </c>
    </row>
    <row r="9" ht="50.25" customHeight="1">
      <c r="A9" s="58" t="s">
        <v>19</v>
      </c>
      <c r="B9" s="51" t="s">
        <v>164</v>
      </c>
      <c r="C9" s="42" t="s">
        <v>165</v>
      </c>
      <c r="D9" s="34" t="s">
        <v>166</v>
      </c>
      <c r="E9" s="61">
        <v>49900.0</v>
      </c>
      <c r="F9" s="61">
        <f t="shared" si="1"/>
        <v>59381</v>
      </c>
      <c r="G9" s="36">
        <v>12.63</v>
      </c>
      <c r="H9" s="86">
        <v>4700.0</v>
      </c>
      <c r="I9" s="87" t="s">
        <v>62</v>
      </c>
      <c r="J9" s="89" t="s">
        <v>145</v>
      </c>
    </row>
    <row r="10" ht="50.25" customHeight="1">
      <c r="A10" s="58" t="s">
        <v>24</v>
      </c>
      <c r="B10" s="67" t="s">
        <v>161</v>
      </c>
      <c r="C10" s="90" t="s">
        <v>147</v>
      </c>
      <c r="D10" s="91" t="s">
        <v>148</v>
      </c>
      <c r="E10" s="71">
        <v>119900.0</v>
      </c>
      <c r="F10" s="61">
        <f t="shared" si="1"/>
        <v>142681</v>
      </c>
      <c r="G10" s="69">
        <v>36.52</v>
      </c>
      <c r="H10" s="86">
        <v>4700.0</v>
      </c>
      <c r="I10" s="87" t="s">
        <v>62</v>
      </c>
      <c r="J10" s="92" t="s">
        <v>149</v>
      </c>
    </row>
    <row r="11" ht="15.0" hidden="1" customHeight="1">
      <c r="A11" s="25"/>
      <c r="B11" s="64"/>
      <c r="C11" s="64"/>
      <c r="D11" s="64"/>
      <c r="E11" s="64"/>
      <c r="F11" s="64"/>
      <c r="G11" s="64"/>
      <c r="H11" s="64"/>
      <c r="I11" s="93" t="s">
        <v>62</v>
      </c>
      <c r="J11" s="64"/>
    </row>
    <row r="12" ht="12.75" customHeight="1"/>
    <row r="13" ht="138.75" customHeight="1">
      <c r="A13" s="27" t="s">
        <v>167</v>
      </c>
      <c r="B13" s="4"/>
      <c r="C13" s="4"/>
      <c r="D13" s="4"/>
      <c r="E13" s="4"/>
      <c r="F13" s="4"/>
      <c r="G13" s="4"/>
      <c r="H13" s="4"/>
      <c r="I13" s="4"/>
      <c r="J13" s="5"/>
    </row>
    <row r="14" ht="12.75" customHeight="1"/>
    <row r="15" ht="75.0" customHeight="1">
      <c r="A15" s="27" t="s">
        <v>168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169</v>
      </c>
      <c r="C7" s="46" t="s">
        <v>170</v>
      </c>
      <c r="D7" s="46" t="s">
        <v>171</v>
      </c>
      <c r="E7" s="46" t="s">
        <v>172</v>
      </c>
      <c r="F7" s="47" t="s">
        <v>173</v>
      </c>
      <c r="G7" s="48" t="s">
        <v>174</v>
      </c>
      <c r="H7" s="46" t="s">
        <v>10</v>
      </c>
      <c r="I7" s="46" t="s">
        <v>175</v>
      </c>
      <c r="J7" s="46" t="s">
        <v>176</v>
      </c>
      <c r="K7" s="10"/>
      <c r="L7" s="10"/>
      <c r="M7" s="10"/>
      <c r="N7" s="10"/>
      <c r="O7" s="10"/>
      <c r="P7" s="10"/>
      <c r="Q7" s="10"/>
      <c r="R7" s="10"/>
      <c r="S7" s="10"/>
      <c r="T7" s="10"/>
      <c r="U7" s="10"/>
      <c r="V7" s="10"/>
      <c r="W7" s="10"/>
      <c r="X7" s="10"/>
      <c r="Y7" s="10"/>
      <c r="Z7" s="10"/>
    </row>
    <row r="8" ht="50.25" customHeight="1">
      <c r="A8" s="58" t="s">
        <v>13</v>
      </c>
      <c r="B8" s="34" t="s">
        <v>177</v>
      </c>
      <c r="C8" s="42" t="s">
        <v>178</v>
      </c>
      <c r="D8" s="63" t="s">
        <v>179</v>
      </c>
      <c r="E8" s="60">
        <v>1599900.0</v>
      </c>
      <c r="F8" s="60">
        <f t="shared" ref="F8:F10" si="1">E8*1.19</f>
        <v>1903881</v>
      </c>
      <c r="G8" s="36">
        <v>405.07</v>
      </c>
      <c r="H8" s="37">
        <v>4700.0</v>
      </c>
      <c r="I8" s="34" t="s">
        <v>62</v>
      </c>
      <c r="J8" s="70" t="s">
        <v>180</v>
      </c>
    </row>
    <row r="9" ht="50.25" customHeight="1">
      <c r="A9" s="58" t="s">
        <v>19</v>
      </c>
      <c r="B9" s="51" t="s">
        <v>146</v>
      </c>
      <c r="C9" s="42" t="s">
        <v>181</v>
      </c>
      <c r="D9" s="43" t="s">
        <v>182</v>
      </c>
      <c r="E9" s="61">
        <v>1999900.0</v>
      </c>
      <c r="F9" s="60">
        <f t="shared" si="1"/>
        <v>2379881</v>
      </c>
      <c r="G9" s="36">
        <f>506.36</f>
        <v>506.36</v>
      </c>
      <c r="H9" s="37">
        <v>4700.0</v>
      </c>
      <c r="I9" s="34" t="s">
        <v>62</v>
      </c>
      <c r="J9" s="94" t="s">
        <v>183</v>
      </c>
    </row>
    <row r="10" ht="50.25" customHeight="1">
      <c r="A10" s="58" t="s">
        <v>24</v>
      </c>
      <c r="B10" s="34" t="s">
        <v>184</v>
      </c>
      <c r="C10" s="42" t="s">
        <v>185</v>
      </c>
      <c r="D10" s="43" t="s">
        <v>186</v>
      </c>
      <c r="E10" s="60">
        <v>2499900.0</v>
      </c>
      <c r="F10" s="60">
        <f t="shared" si="1"/>
        <v>2974881</v>
      </c>
      <c r="G10" s="36">
        <v>633.99</v>
      </c>
      <c r="H10" s="37">
        <v>4700.0</v>
      </c>
      <c r="I10" s="34" t="s">
        <v>62</v>
      </c>
      <c r="J10" s="94" t="s">
        <v>187</v>
      </c>
    </row>
    <row r="11" ht="15.0" hidden="1" customHeight="1">
      <c r="A11" s="25"/>
      <c r="B11" s="64"/>
      <c r="C11" s="64"/>
      <c r="D11" s="64"/>
      <c r="E11" s="64"/>
      <c r="F11" s="64"/>
      <c r="G11" s="64"/>
      <c r="H11" s="64"/>
      <c r="I11" s="64"/>
      <c r="J11" s="64"/>
    </row>
    <row r="12" ht="12.75" customHeight="1"/>
    <row r="13" ht="138.75" customHeight="1">
      <c r="A13" s="27" t="s">
        <v>188</v>
      </c>
      <c r="B13" s="4"/>
      <c r="C13" s="4"/>
      <c r="D13" s="4"/>
      <c r="E13" s="4"/>
      <c r="F13" s="4"/>
      <c r="G13" s="4"/>
      <c r="H13" s="4"/>
      <c r="I13" s="4"/>
      <c r="J13" s="5"/>
    </row>
    <row r="14" ht="12.75" customHeight="1"/>
    <row r="15" ht="75.0" customHeight="1">
      <c r="A15" s="27" t="s">
        <v>189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190</v>
      </c>
      <c r="C7" s="46" t="s">
        <v>191</v>
      </c>
      <c r="D7" s="46" t="s">
        <v>192</v>
      </c>
      <c r="E7" s="46" t="s">
        <v>193</v>
      </c>
      <c r="F7" s="47" t="s">
        <v>194</v>
      </c>
      <c r="G7" s="48" t="s">
        <v>195</v>
      </c>
      <c r="H7" s="46" t="s">
        <v>10</v>
      </c>
      <c r="I7" s="46" t="s">
        <v>196</v>
      </c>
      <c r="J7" s="46" t="s">
        <v>197</v>
      </c>
      <c r="K7" s="10"/>
      <c r="L7" s="10"/>
      <c r="M7" s="10"/>
      <c r="N7" s="10"/>
      <c r="O7" s="10"/>
      <c r="P7" s="10"/>
      <c r="Q7" s="10"/>
      <c r="R7" s="10"/>
      <c r="S7" s="10"/>
      <c r="T7" s="10"/>
      <c r="U7" s="10"/>
      <c r="V7" s="10"/>
      <c r="W7" s="10"/>
      <c r="X7" s="10"/>
      <c r="Y7" s="10"/>
      <c r="Z7" s="10"/>
    </row>
    <row r="8" ht="50.25" customHeight="1">
      <c r="A8" s="58" t="s">
        <v>13</v>
      </c>
      <c r="B8" s="34" t="s">
        <v>43</v>
      </c>
      <c r="C8" s="66" t="s">
        <v>198</v>
      </c>
      <c r="D8" s="95" t="s">
        <v>199</v>
      </c>
      <c r="E8" s="71">
        <v>699000.0</v>
      </c>
      <c r="F8" s="60">
        <f t="shared" ref="F8:F10" si="1">E8*1.19</f>
        <v>831810</v>
      </c>
      <c r="G8" s="69">
        <v>217.06</v>
      </c>
      <c r="H8" s="37">
        <f t="shared" ref="H8:H10" si="2">G8*3900</f>
        <v>846534</v>
      </c>
      <c r="I8" s="34" t="s">
        <v>17</v>
      </c>
      <c r="J8" s="96" t="s">
        <v>200</v>
      </c>
    </row>
    <row r="9" ht="50.25" customHeight="1">
      <c r="A9" s="58" t="s">
        <v>19</v>
      </c>
      <c r="B9" s="34" t="s">
        <v>64</v>
      </c>
      <c r="C9" s="97" t="s">
        <v>201</v>
      </c>
      <c r="D9" s="98" t="s">
        <v>202</v>
      </c>
      <c r="E9" s="68">
        <v>500000.0</v>
      </c>
      <c r="F9" s="60">
        <f t="shared" si="1"/>
        <v>595000</v>
      </c>
      <c r="G9" s="69">
        <v>155.27</v>
      </c>
      <c r="H9" s="37">
        <f t="shared" si="2"/>
        <v>605553</v>
      </c>
      <c r="I9" s="34" t="s">
        <v>17</v>
      </c>
      <c r="J9" s="98" t="s">
        <v>203</v>
      </c>
    </row>
    <row r="10" ht="50.25" customHeight="1">
      <c r="A10" s="58" t="s">
        <v>24</v>
      </c>
      <c r="B10" s="34" t="s">
        <v>14</v>
      </c>
      <c r="C10" s="66" t="s">
        <v>204</v>
      </c>
      <c r="D10" s="91" t="s">
        <v>205</v>
      </c>
      <c r="E10" s="71">
        <v>439900.0</v>
      </c>
      <c r="F10" s="60">
        <f t="shared" si="1"/>
        <v>523481</v>
      </c>
      <c r="G10" s="69">
        <v>136.6</v>
      </c>
      <c r="H10" s="37">
        <f t="shared" si="2"/>
        <v>532740</v>
      </c>
      <c r="I10" s="34" t="s">
        <v>17</v>
      </c>
      <c r="J10" s="98" t="s">
        <v>206</v>
      </c>
    </row>
    <row r="11" ht="15.0" hidden="1" customHeight="1">
      <c r="A11" s="25"/>
      <c r="B11" s="64"/>
      <c r="C11" s="64"/>
      <c r="D11" s="64"/>
      <c r="E11" s="64"/>
      <c r="F11" s="64"/>
      <c r="G11" s="64"/>
      <c r="H11" s="64"/>
      <c r="I11" s="64"/>
      <c r="J11" s="64"/>
    </row>
    <row r="12" ht="12.75" customHeight="1"/>
    <row r="13" ht="138.75" customHeight="1">
      <c r="A13" s="27" t="s">
        <v>207</v>
      </c>
      <c r="B13" s="4"/>
      <c r="C13" s="4"/>
      <c r="D13" s="4"/>
      <c r="E13" s="4"/>
      <c r="F13" s="4"/>
      <c r="G13" s="4"/>
      <c r="H13" s="4"/>
      <c r="I13" s="4"/>
      <c r="J13" s="5"/>
    </row>
    <row r="14" ht="12.75" customHeight="1"/>
    <row r="15" ht="75.0" customHeight="1">
      <c r="A15" s="27" t="s">
        <v>208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polycard_client=search-nordic&amp;search_layout=stack&amp;position=4&amp;type=product&amp;tracking_id=5e9d59a9-255a-4efd-88b0-810d5547d109&amp;wid=MCO2888623430&amp;sid=search"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t="s">
        <v>209</v>
      </c>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210</v>
      </c>
      <c r="C7" s="46" t="s">
        <v>211</v>
      </c>
      <c r="D7" s="46" t="s">
        <v>212</v>
      </c>
      <c r="E7" s="46" t="s">
        <v>213</v>
      </c>
      <c r="F7" s="47" t="s">
        <v>214</v>
      </c>
      <c r="G7" s="48" t="s">
        <v>215</v>
      </c>
      <c r="H7" s="46" t="s">
        <v>10</v>
      </c>
      <c r="I7" s="46" t="s">
        <v>216</v>
      </c>
      <c r="J7" s="46" t="s">
        <v>217</v>
      </c>
      <c r="K7" s="10"/>
      <c r="L7" s="10"/>
      <c r="M7" s="10"/>
      <c r="N7" s="10"/>
      <c r="O7" s="10"/>
      <c r="P7" s="10"/>
      <c r="Q7" s="10"/>
      <c r="R7" s="10"/>
      <c r="S7" s="10"/>
      <c r="T7" s="10"/>
      <c r="U7" s="10"/>
      <c r="V7" s="10"/>
      <c r="W7" s="10"/>
      <c r="X7" s="10"/>
      <c r="Y7" s="10"/>
      <c r="Z7" s="10"/>
    </row>
    <row r="8" ht="50.25" customHeight="1">
      <c r="A8" s="58" t="s">
        <v>13</v>
      </c>
      <c r="B8" s="99" t="s">
        <v>218</v>
      </c>
      <c r="C8" s="66" t="s">
        <v>219</v>
      </c>
      <c r="D8" s="100" t="s">
        <v>220</v>
      </c>
      <c r="E8" s="101">
        <v>179000.0</v>
      </c>
      <c r="F8" s="102">
        <f t="shared" ref="F8:F10" si="1">E8*1.19</f>
        <v>213010</v>
      </c>
      <c r="G8" s="103">
        <v>55.32</v>
      </c>
      <c r="H8" s="104">
        <f t="shared" ref="H8:H10" si="2">G8*3900</f>
        <v>215748</v>
      </c>
      <c r="I8" s="105" t="s">
        <v>17</v>
      </c>
      <c r="J8" s="106" t="s">
        <v>221</v>
      </c>
    </row>
    <row r="9" ht="50.25" customHeight="1">
      <c r="A9" s="58" t="s">
        <v>19</v>
      </c>
      <c r="B9" s="99" t="s">
        <v>222</v>
      </c>
      <c r="C9" s="66" t="s">
        <v>223</v>
      </c>
      <c r="D9" s="106" t="s">
        <v>224</v>
      </c>
      <c r="E9" s="101">
        <v>170000.0</v>
      </c>
      <c r="F9" s="102">
        <f t="shared" si="1"/>
        <v>202300</v>
      </c>
      <c r="G9" s="103">
        <v>52.08</v>
      </c>
      <c r="H9" s="104">
        <f t="shared" si="2"/>
        <v>203112</v>
      </c>
      <c r="I9" s="105" t="s">
        <v>17</v>
      </c>
      <c r="J9" s="106" t="s">
        <v>225</v>
      </c>
    </row>
    <row r="10" ht="50.25" customHeight="1">
      <c r="A10" s="58" t="s">
        <v>24</v>
      </c>
      <c r="B10" s="99" t="s">
        <v>226</v>
      </c>
      <c r="C10" s="66" t="s">
        <v>227</v>
      </c>
      <c r="D10" s="99" t="s">
        <v>228</v>
      </c>
      <c r="E10" s="101">
        <v>170000.0</v>
      </c>
      <c r="F10" s="102">
        <f t="shared" si="1"/>
        <v>202300</v>
      </c>
      <c r="G10" s="103">
        <v>52.08</v>
      </c>
      <c r="H10" s="104">
        <f t="shared" si="2"/>
        <v>203112</v>
      </c>
      <c r="I10" s="105" t="s">
        <v>17</v>
      </c>
      <c r="J10" s="106" t="s">
        <v>229</v>
      </c>
    </row>
    <row r="11" ht="15.0" hidden="1" customHeight="1">
      <c r="A11" s="25"/>
      <c r="B11" s="64"/>
      <c r="C11" s="64"/>
      <c r="D11" s="64"/>
      <c r="E11" s="64"/>
      <c r="F11" s="64"/>
      <c r="G11" s="64"/>
      <c r="H11" s="64"/>
      <c r="I11" s="64"/>
      <c r="J11" s="64"/>
    </row>
    <row r="12" ht="12.75" customHeight="1"/>
    <row r="13" ht="138.75" customHeight="1">
      <c r="A13" s="27" t="s">
        <v>230</v>
      </c>
      <c r="B13" s="4"/>
      <c r="C13" s="4"/>
      <c r="D13" s="4"/>
      <c r="E13" s="4"/>
      <c r="F13" s="4"/>
      <c r="G13" s="4"/>
      <c r="H13" s="4"/>
      <c r="I13" s="4"/>
      <c r="J13" s="5"/>
    </row>
    <row r="14" ht="12.75" customHeight="1"/>
    <row r="15" ht="75.0" customHeight="1">
      <c r="A15" s="27" t="s">
        <v>231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polycard_client=search-nordic&amp;search_layout=stack&amp;position=3&amp;type=product&amp;tracking_id=777d7f0d-b3c0-4d9f-a49c-4400dec63f6d&amp;wid=MCO1573643537&amp;sid=search"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232</v>
      </c>
      <c r="C7" s="46" t="s">
        <v>233</v>
      </c>
      <c r="D7" s="46" t="s">
        <v>234</v>
      </c>
      <c r="E7" s="46" t="s">
        <v>235</v>
      </c>
      <c r="F7" s="47" t="s">
        <v>236</v>
      </c>
      <c r="G7" s="48" t="s">
        <v>237</v>
      </c>
      <c r="H7" s="46" t="s">
        <v>10</v>
      </c>
      <c r="I7" s="46" t="s">
        <v>238</v>
      </c>
      <c r="J7" s="46" t="s">
        <v>239</v>
      </c>
      <c r="K7" s="10"/>
      <c r="L7" s="10"/>
      <c r="M7" s="10"/>
      <c r="N7" s="10"/>
      <c r="O7" s="10"/>
      <c r="P7" s="10"/>
      <c r="Q7" s="10"/>
      <c r="R7" s="10"/>
      <c r="S7" s="10"/>
      <c r="T7" s="10"/>
      <c r="U7" s="10"/>
      <c r="V7" s="10"/>
      <c r="W7" s="10"/>
      <c r="X7" s="10"/>
      <c r="Y7" s="10"/>
      <c r="Z7" s="10"/>
    </row>
    <row r="8" ht="50.25" customHeight="1">
      <c r="A8" s="58" t="s">
        <v>13</v>
      </c>
      <c r="B8" s="105" t="s">
        <v>240</v>
      </c>
      <c r="C8" s="107" t="s">
        <v>241</v>
      </c>
      <c r="D8" s="108" t="s">
        <v>242</v>
      </c>
      <c r="E8" s="79">
        <v>893296.0</v>
      </c>
      <c r="F8" s="102">
        <f t="shared" ref="F8:F10" si="1">E8*1.19</f>
        <v>1063022.24</v>
      </c>
      <c r="G8" s="109">
        <f t="shared" ref="G8:G10" si="2">(F8+E8)/3900</f>
        <v>501.6200615</v>
      </c>
      <c r="H8" s="110">
        <f t="shared" ref="H8:H10" si="3">G8*3900</f>
        <v>1956318.24</v>
      </c>
      <c r="I8" s="105" t="s">
        <v>62</v>
      </c>
      <c r="J8" s="108" t="s">
        <v>243</v>
      </c>
    </row>
    <row r="9" ht="50.25" customHeight="1">
      <c r="A9" s="58" t="s">
        <v>19</v>
      </c>
      <c r="B9" s="105" t="s">
        <v>14</v>
      </c>
      <c r="C9" s="107" t="s">
        <v>244</v>
      </c>
      <c r="D9" s="108" t="s">
        <v>245</v>
      </c>
      <c r="E9" s="79">
        <v>3850000.0</v>
      </c>
      <c r="F9" s="102">
        <f t="shared" si="1"/>
        <v>4581500</v>
      </c>
      <c r="G9" s="109">
        <f t="shared" si="2"/>
        <v>2161.923077</v>
      </c>
      <c r="H9" s="110">
        <f t="shared" si="3"/>
        <v>8431500</v>
      </c>
      <c r="I9" s="105" t="s">
        <v>62</v>
      </c>
      <c r="J9" s="108" t="s">
        <v>246</v>
      </c>
    </row>
    <row r="10" ht="50.25" customHeight="1">
      <c r="A10" s="58" t="s">
        <v>24</v>
      </c>
      <c r="B10" s="105" t="s">
        <v>14</v>
      </c>
      <c r="C10" s="107" t="s">
        <v>247</v>
      </c>
      <c r="D10" s="108" t="s">
        <v>248</v>
      </c>
      <c r="E10" s="79">
        <v>2399999.0</v>
      </c>
      <c r="F10" s="102">
        <f t="shared" si="1"/>
        <v>2855998.81</v>
      </c>
      <c r="G10" s="109">
        <f t="shared" si="2"/>
        <v>1347.691746</v>
      </c>
      <c r="H10" s="110">
        <f t="shared" si="3"/>
        <v>5255997.81</v>
      </c>
      <c r="I10" s="105" t="s">
        <v>62</v>
      </c>
      <c r="J10" s="108" t="s">
        <v>249</v>
      </c>
    </row>
    <row r="11" ht="15.0" hidden="1" customHeight="1">
      <c r="A11" s="25"/>
      <c r="B11" s="64"/>
      <c r="C11" s="64"/>
      <c r="D11" s="64"/>
      <c r="E11" s="64"/>
      <c r="F11" s="64"/>
      <c r="G11" s="64"/>
      <c r="H11" s="64"/>
      <c r="I11" s="64"/>
      <c r="J11" s="64"/>
    </row>
    <row r="12" ht="12.75" customHeight="1"/>
    <row r="13" ht="138.75" customHeight="1">
      <c r="A13" s="27" t="s">
        <v>250</v>
      </c>
      <c r="B13" s="4"/>
      <c r="C13" s="4"/>
      <c r="D13" s="4"/>
      <c r="E13" s="4"/>
      <c r="F13" s="4"/>
      <c r="G13" s="4"/>
      <c r="H13" s="4"/>
      <c r="I13" s="4"/>
      <c r="J13" s="5"/>
    </row>
    <row r="14" ht="12.75" customHeight="1"/>
    <row r="15" ht="75.0" customHeight="1">
      <c r="A15" s="27" t="s">
        <v>251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location="position=1&amp;search_layout=stack&amp;type=item&amp;tracking_id=0fd9fb34-0351-4dd5-bffd-e6bf27036d09" ref="C9"/>
    <hyperlink r:id="rId3" location="reco_item_pos=0&amp;reco_backend=pads-retrieval-model-odin_marketplace&amp;reco_backend_type=&amp;reco_client=vip-pads-up&amp;reco_id=4ba4c990-688a-4e14-ba09-aa8d43e7531a&amp;is_advertising=true&amp;ad_domain=VIPDESKTOP_UP&amp;ad_position=1&amp;ad_click_id=ZGYxNDliOTItZTMyNC00Y2ViLThhN2ItYWFkYmMzNDY0NTli"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252</v>
      </c>
      <c r="C7" s="46" t="s">
        <v>253</v>
      </c>
      <c r="D7" s="46" t="s">
        <v>254</v>
      </c>
      <c r="E7" s="46" t="s">
        <v>255</v>
      </c>
      <c r="F7" s="47" t="s">
        <v>256</v>
      </c>
      <c r="G7" s="48" t="s">
        <v>257</v>
      </c>
      <c r="H7" s="46" t="s">
        <v>10</v>
      </c>
      <c r="I7" s="46" t="s">
        <v>258</v>
      </c>
      <c r="J7" s="46" t="s">
        <v>259</v>
      </c>
      <c r="K7" s="10"/>
      <c r="L7" s="10"/>
      <c r="M7" s="10"/>
      <c r="N7" s="10"/>
      <c r="O7" s="10"/>
      <c r="P7" s="10"/>
      <c r="Q7" s="10"/>
      <c r="R7" s="10"/>
      <c r="S7" s="10"/>
      <c r="T7" s="10"/>
      <c r="U7" s="10"/>
      <c r="V7" s="10"/>
      <c r="W7" s="10"/>
      <c r="X7" s="10"/>
      <c r="Y7" s="10"/>
      <c r="Z7" s="10"/>
    </row>
    <row r="8" ht="50.25" customHeight="1">
      <c r="A8" s="58" t="s">
        <v>13</v>
      </c>
      <c r="B8" s="105" t="s">
        <v>14</v>
      </c>
      <c r="C8" s="66" t="s">
        <v>260</v>
      </c>
      <c r="D8" s="99" t="s">
        <v>261</v>
      </c>
      <c r="E8" s="101">
        <v>119000.0</v>
      </c>
      <c r="F8" s="102">
        <f t="shared" ref="F8:F10" si="1">E8*1.19</f>
        <v>141610</v>
      </c>
      <c r="G8" s="111">
        <v>36.79</v>
      </c>
      <c r="H8" s="112">
        <f t="shared" ref="H8:H10" si="2">G8*3900</f>
        <v>143481</v>
      </c>
      <c r="I8" s="105" t="s">
        <v>17</v>
      </c>
      <c r="J8" s="106" t="s">
        <v>262</v>
      </c>
      <c r="K8" s="113" t="s">
        <v>0</v>
      </c>
    </row>
    <row r="9" ht="50.25" customHeight="1">
      <c r="A9" s="58" t="s">
        <v>19</v>
      </c>
      <c r="B9" s="99" t="s">
        <v>14</v>
      </c>
      <c r="C9" s="66" t="s">
        <v>263</v>
      </c>
      <c r="D9" s="100" t="s">
        <v>264</v>
      </c>
      <c r="E9" s="101">
        <v>209000.0</v>
      </c>
      <c r="F9" s="102">
        <f t="shared" si="1"/>
        <v>248710</v>
      </c>
      <c r="G9" s="111">
        <v>53.97</v>
      </c>
      <c r="H9" s="112">
        <f t="shared" si="2"/>
        <v>210483</v>
      </c>
      <c r="I9" s="105" t="s">
        <v>17</v>
      </c>
      <c r="J9" s="106" t="s">
        <v>265</v>
      </c>
    </row>
    <row r="10" ht="50.25" customHeight="1">
      <c r="A10" s="58" t="s">
        <v>24</v>
      </c>
      <c r="B10" s="99" t="s">
        <v>14</v>
      </c>
      <c r="C10" s="66" t="s">
        <v>266</v>
      </c>
      <c r="D10" s="106" t="s">
        <v>267</v>
      </c>
      <c r="E10" s="101">
        <v>110000.0</v>
      </c>
      <c r="F10" s="102">
        <f t="shared" si="1"/>
        <v>130900</v>
      </c>
      <c r="G10" s="111">
        <v>34.16</v>
      </c>
      <c r="H10" s="112">
        <f t="shared" si="2"/>
        <v>133224</v>
      </c>
      <c r="I10" s="105" t="s">
        <v>17</v>
      </c>
      <c r="J10" s="106" t="s">
        <v>268</v>
      </c>
    </row>
    <row r="11" ht="15.0" hidden="1" customHeight="1">
      <c r="A11" s="25"/>
      <c r="B11" s="64"/>
      <c r="C11" s="64"/>
      <c r="D11" s="64"/>
      <c r="E11" s="64"/>
      <c r="F11" s="64"/>
      <c r="G11" s="64"/>
      <c r="H11" s="64"/>
      <c r="I11" s="64"/>
      <c r="J11" s="64"/>
    </row>
    <row r="12" ht="12.75" customHeight="1"/>
    <row r="13" ht="138.75" customHeight="1">
      <c r="A13" s="27" t="s">
        <v>269</v>
      </c>
      <c r="B13" s="4"/>
      <c r="C13" s="4"/>
      <c r="D13" s="4"/>
      <c r="E13" s="4"/>
      <c r="F13" s="4"/>
      <c r="G13" s="4"/>
      <c r="H13" s="4"/>
      <c r="I13" s="4"/>
      <c r="J13" s="5"/>
    </row>
    <row r="14" ht="12.75" customHeight="1"/>
    <row r="15" ht="75.0" customHeight="1">
      <c r="A15" s="27" t="s">
        <v>270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nordic&amp;search_layout=stack&amp;position=14&amp;type=product&amp;tracking_id=a13a35b1-d6aa-4573-acdc-cd4086a1b00d&amp;wid=MCO1664055077&amp;sid=search" ref="C8"/>
    <hyperlink r:id="rId2" location="is_advertising=true&amp;searchVariation=MCO40536874&amp;backend_model=search-backend&amp;position=1&amp;search_layout=stack&amp;type=pad&amp;tracking_id=ab7a3ee3-603e-4276-a069-5ca16ba9b8d2&amp;ad_domain=VQCATCORE_LST&amp;ad_position=1&amp;ad_click_id=N2U4YjU4N2YtYjdkMi00MDc3LTg1OTctYjRhYjJlZTM5ZDEz" ref="C9"/>
    <hyperlink r:id="rId3" location="polycard_client=search-nordic&amp;search_layout=stack&amp;position=5&amp;type=product&amp;tracking_id=55455934-4bc1-4171-b256-a51fc6f7dbbe&amp;wid=MCO1614310077&amp;sid=search"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271</v>
      </c>
      <c r="C7" s="46" t="s">
        <v>272</v>
      </c>
      <c r="D7" s="46" t="s">
        <v>273</v>
      </c>
      <c r="E7" s="46" t="s">
        <v>274</v>
      </c>
      <c r="F7" s="47" t="s">
        <v>275</v>
      </c>
      <c r="G7" s="48" t="s">
        <v>276</v>
      </c>
      <c r="H7" s="46" t="s">
        <v>10</v>
      </c>
      <c r="I7" s="46" t="s">
        <v>277</v>
      </c>
      <c r="J7" s="46" t="s">
        <v>278</v>
      </c>
      <c r="K7" s="10"/>
      <c r="L7" s="10"/>
      <c r="M7" s="10"/>
      <c r="N7" s="10"/>
      <c r="O7" s="10"/>
      <c r="P7" s="10"/>
      <c r="Q7" s="10"/>
      <c r="R7" s="10"/>
      <c r="S7" s="10"/>
      <c r="T7" s="10"/>
      <c r="U7" s="10"/>
      <c r="V7" s="10"/>
      <c r="W7" s="10"/>
      <c r="X7" s="10"/>
      <c r="Y7" s="10"/>
      <c r="Z7" s="10"/>
    </row>
    <row r="8" ht="50.25" customHeight="1">
      <c r="A8" s="58" t="s">
        <v>13</v>
      </c>
      <c r="B8" s="105" t="s">
        <v>14</v>
      </c>
      <c r="C8" s="66" t="s">
        <v>279</v>
      </c>
      <c r="D8" s="106" t="s">
        <v>280</v>
      </c>
      <c r="E8" s="111">
        <v>245000.0</v>
      </c>
      <c r="F8" s="102">
        <f t="shared" ref="F8:F10" si="1">E8*1.19</f>
        <v>291550</v>
      </c>
      <c r="G8" s="114">
        <v>75.04</v>
      </c>
      <c r="H8" s="110">
        <f t="shared" ref="H8:H10" si="2">G8*3900</f>
        <v>292656</v>
      </c>
      <c r="I8" s="105" t="s">
        <v>62</v>
      </c>
      <c r="J8" s="106" t="s">
        <v>281</v>
      </c>
    </row>
    <row r="9" ht="50.25" customHeight="1">
      <c r="A9" s="58" t="s">
        <v>19</v>
      </c>
      <c r="B9" s="99" t="s">
        <v>14</v>
      </c>
      <c r="C9" s="66" t="s">
        <v>282</v>
      </c>
      <c r="D9" s="100" t="s">
        <v>283</v>
      </c>
      <c r="E9" s="101">
        <v>430000.0</v>
      </c>
      <c r="F9" s="102">
        <f t="shared" si="1"/>
        <v>511700</v>
      </c>
      <c r="G9" s="114">
        <v>131.73</v>
      </c>
      <c r="H9" s="110">
        <f t="shared" si="2"/>
        <v>513747</v>
      </c>
      <c r="I9" s="105" t="s">
        <v>62</v>
      </c>
      <c r="J9" s="106" t="s">
        <v>284</v>
      </c>
    </row>
    <row r="10" ht="50.25" customHeight="1">
      <c r="A10" s="58" t="s">
        <v>24</v>
      </c>
      <c r="B10" s="99" t="s">
        <v>285</v>
      </c>
      <c r="C10" s="66" t="s">
        <v>286</v>
      </c>
      <c r="D10" s="106" t="s">
        <v>287</v>
      </c>
      <c r="E10" s="111">
        <v>390000.0</v>
      </c>
      <c r="F10" s="102">
        <f t="shared" si="1"/>
        <v>464100</v>
      </c>
      <c r="G10" s="114">
        <v>119.48</v>
      </c>
      <c r="H10" s="110">
        <f t="shared" si="2"/>
        <v>465972</v>
      </c>
      <c r="I10" s="105" t="s">
        <v>62</v>
      </c>
      <c r="J10" s="106" t="s">
        <v>288</v>
      </c>
    </row>
    <row r="11" ht="15.0" hidden="1" customHeight="1">
      <c r="A11" s="25"/>
      <c r="B11" s="64"/>
      <c r="C11" s="64"/>
      <c r="D11" s="64"/>
      <c r="E11" s="64"/>
      <c r="F11" s="64"/>
      <c r="G11" s="64"/>
      <c r="H11" s="64"/>
      <c r="I11" s="64"/>
      <c r="J11" s="64"/>
    </row>
    <row r="12" ht="12.75" customHeight="1"/>
    <row r="13" ht="138.75" customHeight="1">
      <c r="A13" s="27" t="s">
        <v>289</v>
      </c>
      <c r="B13" s="4"/>
      <c r="C13" s="4"/>
      <c r="D13" s="4"/>
      <c r="E13" s="4"/>
      <c r="F13" s="4"/>
      <c r="G13" s="4"/>
      <c r="H13" s="4"/>
      <c r="I13" s="4"/>
      <c r="J13" s="5"/>
    </row>
    <row r="14" ht="12.75" customHeight="1"/>
    <row r="15" ht="75.0" customHeight="1">
      <c r="A15" s="27" t="s">
        <v>290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nordic&amp;search_layout=stack&amp;position=17&amp;type=product&amp;tracking_id=1ae5b8f5-e8cd-4be0-b22f-5cc71d8fe044&amp;wid=MCO1621807471&amp;sid=search" ref="C8"/>
    <hyperlink r:id="rId2" location="polycard_client=recommendations_pdp-v2p&amp;reco_backend=ranker_retrieval_system_org&amp;reco_model=rk_ent_v3_retsys_org&amp;reco_client=pdp-v2p&amp;reco_item_pos=0&amp;reco_backend_type=low_level&amp;reco_id=0f053842-f847-419b-bd39-dc86c1d67c8f&amp;wid=MCO2992783046&amp;sid=recos"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291</v>
      </c>
      <c r="C7" s="46" t="s">
        <v>292</v>
      </c>
      <c r="D7" s="46" t="s">
        <v>293</v>
      </c>
      <c r="E7" s="46" t="s">
        <v>294</v>
      </c>
      <c r="F7" s="47" t="s">
        <v>295</v>
      </c>
      <c r="G7" s="48" t="s">
        <v>296</v>
      </c>
      <c r="H7" s="46" t="s">
        <v>10</v>
      </c>
      <c r="I7" s="46" t="s">
        <v>297</v>
      </c>
      <c r="J7" s="46" t="s">
        <v>298</v>
      </c>
      <c r="K7" s="10"/>
      <c r="L7" s="10"/>
      <c r="M7" s="10"/>
      <c r="N7" s="10"/>
      <c r="O7" s="10"/>
      <c r="P7" s="10"/>
      <c r="Q7" s="10"/>
      <c r="R7" s="10"/>
      <c r="S7" s="10"/>
      <c r="T7" s="10"/>
      <c r="U7" s="10"/>
      <c r="V7" s="10"/>
      <c r="W7" s="10"/>
      <c r="X7" s="10"/>
      <c r="Y7" s="10"/>
      <c r="Z7" s="10"/>
    </row>
    <row r="8" ht="50.25" customHeight="1">
      <c r="A8" s="58" t="s">
        <v>13</v>
      </c>
      <c r="B8" s="105" t="s">
        <v>14</v>
      </c>
      <c r="C8" s="66" t="s">
        <v>299</v>
      </c>
      <c r="D8" s="100" t="s">
        <v>300</v>
      </c>
      <c r="E8" s="111">
        <v>659600.0</v>
      </c>
      <c r="F8" s="102">
        <f t="shared" ref="F8:F10" si="1">E8*1.19</f>
        <v>784924</v>
      </c>
      <c r="G8" s="114">
        <v>204.82</v>
      </c>
      <c r="H8" s="110">
        <f t="shared" ref="H8:H10" si="2">G8*3900</f>
        <v>798798</v>
      </c>
      <c r="I8" s="105" t="s">
        <v>62</v>
      </c>
      <c r="J8" s="115" t="s">
        <v>301</v>
      </c>
    </row>
    <row r="9" ht="50.25" customHeight="1">
      <c r="A9" s="58" t="s">
        <v>19</v>
      </c>
      <c r="B9" s="99" t="s">
        <v>14</v>
      </c>
      <c r="C9" s="66" t="s">
        <v>302</v>
      </c>
      <c r="D9" s="106" t="s">
        <v>303</v>
      </c>
      <c r="E9" s="111">
        <v>509000.0</v>
      </c>
      <c r="F9" s="102">
        <f t="shared" si="1"/>
        <v>605710</v>
      </c>
      <c r="G9" s="114">
        <v>157.88</v>
      </c>
      <c r="H9" s="110">
        <f t="shared" si="2"/>
        <v>615732</v>
      </c>
      <c r="I9" s="105" t="s">
        <v>62</v>
      </c>
      <c r="J9" s="116" t="s">
        <v>304</v>
      </c>
    </row>
    <row r="10" ht="50.25" customHeight="1">
      <c r="A10" s="58" t="s">
        <v>24</v>
      </c>
      <c r="B10" s="105" t="s">
        <v>14</v>
      </c>
      <c r="C10" s="66" t="s">
        <v>305</v>
      </c>
      <c r="D10" s="106" t="s">
        <v>306</v>
      </c>
      <c r="E10" s="111">
        <v>580000.0</v>
      </c>
      <c r="F10" s="102">
        <f t="shared" si="1"/>
        <v>690200</v>
      </c>
      <c r="G10" s="114">
        <v>180.11</v>
      </c>
      <c r="H10" s="110">
        <f t="shared" si="2"/>
        <v>702429</v>
      </c>
      <c r="I10" s="105" t="s">
        <v>62</v>
      </c>
      <c r="J10" s="116" t="s">
        <v>307</v>
      </c>
    </row>
    <row r="11" ht="15.0" hidden="1" customHeight="1">
      <c r="A11" s="25"/>
      <c r="B11" s="64"/>
      <c r="C11" s="64"/>
      <c r="D11" s="64"/>
      <c r="E11" s="64"/>
      <c r="F11" s="64"/>
      <c r="G11" s="64"/>
      <c r="H11" s="64"/>
      <c r="I11" s="64"/>
      <c r="J11" s="64"/>
    </row>
    <row r="12" ht="12.75" customHeight="1"/>
    <row r="13" ht="138.75" customHeight="1">
      <c r="A13" s="27" t="s">
        <v>308</v>
      </c>
      <c r="B13" s="4"/>
      <c r="C13" s="4"/>
      <c r="D13" s="4"/>
      <c r="E13" s="4"/>
      <c r="F13" s="4"/>
      <c r="G13" s="4"/>
      <c r="H13" s="4"/>
      <c r="I13" s="4"/>
      <c r="J13" s="5"/>
    </row>
    <row r="14" ht="12.75" customHeight="1"/>
    <row r="15" ht="75.0" customHeight="1">
      <c r="A15" s="27" t="s">
        <v>309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is_advertising=true&amp;searchVariation=MCO18720204&amp;backend_model=search-backend&amp;position=1&amp;search_layout=stack&amp;type=pad&amp;tracking_id=eef054d1-add3-411c-a370-1174a517bc1a&amp;ad_domain=VQCATCORE_LST&amp;ad_position=1&amp;ad_click_id=YjI2NzE4YTItYmYxNC00NTc4LWJhM2UtY2UzMDkxNmE5OGEy" ref="C8"/>
    <hyperlink r:id="rId2" location="polycard_client=search-nordic&amp;search_layout=stack&amp;position=25&amp;type=product&amp;tracking_id=4863590a-ae18-489d-81d5-aede30d620cf&amp;wid=MCO2828732580&amp;sid=search" ref="C9"/>
    <hyperlink r:id="rId3" location="polycard_client=search-nordic&amp;search_layout=stack&amp;position=1&amp;type=product&amp;tracking_id=584e9757-e365-4535-a6ea-0c8619111eab&amp;wid=MCO1164805894&amp;sid=search"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76">
        <v>0.0</v>
      </c>
      <c r="B5" s="4"/>
      <c r="C5" s="4"/>
      <c r="D5" s="4"/>
      <c r="E5" s="4"/>
      <c r="F5" s="4"/>
      <c r="G5" s="4"/>
      <c r="H5" s="4"/>
      <c r="I5" s="4"/>
      <c r="J5" s="5"/>
    </row>
    <row r="6" ht="15.75" customHeight="1"/>
    <row r="7" ht="75.75" customHeight="1">
      <c r="A7" s="6" t="s">
        <v>3</v>
      </c>
      <c r="B7" s="46" t="s">
        <v>310</v>
      </c>
      <c r="C7" s="46" t="s">
        <v>311</v>
      </c>
      <c r="D7" s="46" t="s">
        <v>312</v>
      </c>
      <c r="E7" s="46" t="s">
        <v>313</v>
      </c>
      <c r="F7" s="47" t="s">
        <v>314</v>
      </c>
      <c r="G7" s="48" t="s">
        <v>315</v>
      </c>
      <c r="H7" s="46" t="s">
        <v>10</v>
      </c>
      <c r="I7" s="46" t="s">
        <v>316</v>
      </c>
      <c r="J7" s="46" t="s">
        <v>317</v>
      </c>
      <c r="K7" s="10"/>
      <c r="L7" s="10"/>
      <c r="M7" s="10"/>
      <c r="N7" s="10"/>
      <c r="O7" s="10"/>
      <c r="P7" s="10"/>
      <c r="Q7" s="10"/>
      <c r="R7" s="10"/>
      <c r="S7" s="10"/>
      <c r="T7" s="10"/>
      <c r="U7" s="10"/>
      <c r="V7" s="10"/>
      <c r="W7" s="10"/>
      <c r="X7" s="10"/>
      <c r="Y7" s="10"/>
      <c r="Z7" s="10"/>
    </row>
    <row r="8" ht="50.25" customHeight="1">
      <c r="A8" s="58" t="s">
        <v>13</v>
      </c>
      <c r="B8" s="105" t="s">
        <v>164</v>
      </c>
      <c r="C8" s="107" t="s">
        <v>318</v>
      </c>
      <c r="D8" s="108" t="s">
        <v>319</v>
      </c>
      <c r="E8" s="79">
        <v>37900.0</v>
      </c>
      <c r="F8" s="102">
        <f t="shared" ref="F8:F10" si="1">E8*1.19</f>
        <v>45101</v>
      </c>
      <c r="G8" s="117">
        <v>11.61</v>
      </c>
      <c r="H8" s="110">
        <f t="shared" ref="H8:H10" si="2">G8*3900</f>
        <v>45279</v>
      </c>
      <c r="I8" s="105" t="s">
        <v>17</v>
      </c>
      <c r="J8" s="108" t="s">
        <v>320</v>
      </c>
    </row>
    <row r="9" ht="50.25" customHeight="1">
      <c r="A9" s="58" t="s">
        <v>19</v>
      </c>
      <c r="B9" s="105" t="s">
        <v>14</v>
      </c>
      <c r="C9" s="107" t="s">
        <v>321</v>
      </c>
      <c r="D9" s="108" t="s">
        <v>322</v>
      </c>
      <c r="E9" s="79">
        <v>59900.0</v>
      </c>
      <c r="F9" s="102">
        <f t="shared" si="1"/>
        <v>71281</v>
      </c>
      <c r="G9" s="117">
        <v>18.35</v>
      </c>
      <c r="H9" s="110">
        <f t="shared" si="2"/>
        <v>71565</v>
      </c>
      <c r="I9" s="105" t="s">
        <v>17</v>
      </c>
      <c r="J9" s="108" t="s">
        <v>323</v>
      </c>
    </row>
    <row r="10" ht="50.25" customHeight="1">
      <c r="A10" s="58" t="s">
        <v>24</v>
      </c>
      <c r="B10" s="99" t="s">
        <v>324</v>
      </c>
      <c r="C10" s="13" t="s">
        <v>147</v>
      </c>
      <c r="D10" s="100" t="s">
        <v>325</v>
      </c>
      <c r="E10" s="101">
        <v>119900.0</v>
      </c>
      <c r="F10" s="102">
        <f t="shared" si="1"/>
        <v>142681</v>
      </c>
      <c r="G10" s="114">
        <v>36.52</v>
      </c>
      <c r="H10" s="110">
        <f t="shared" si="2"/>
        <v>142428</v>
      </c>
      <c r="I10" s="105" t="s">
        <v>17</v>
      </c>
      <c r="J10" s="99" t="s">
        <v>149</v>
      </c>
    </row>
    <row r="11" ht="15.0" hidden="1" customHeight="1">
      <c r="A11" s="25"/>
      <c r="B11" s="64"/>
      <c r="C11" s="64"/>
      <c r="D11" s="64"/>
      <c r="E11" s="64"/>
      <c r="F11" s="64"/>
      <c r="G11" s="64"/>
      <c r="H11" s="64"/>
      <c r="I11" s="64"/>
      <c r="J11" s="64"/>
    </row>
    <row r="12" ht="12.75" customHeight="1"/>
    <row r="13" ht="138.75" customHeight="1">
      <c r="A13" s="27" t="s">
        <v>326</v>
      </c>
      <c r="B13" s="4"/>
      <c r="C13" s="4"/>
      <c r="D13" s="4"/>
      <c r="E13" s="4"/>
      <c r="F13" s="4"/>
      <c r="G13" s="4"/>
      <c r="H13" s="4"/>
      <c r="I13" s="4"/>
      <c r="J13" s="5"/>
    </row>
    <row r="14" ht="12.75" customHeight="1"/>
    <row r="15" ht="75.0" customHeight="1">
      <c r="A15" s="27" t="s">
        <v>327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polycard_client=search-nordic&amp;search_layout=stack&amp;position=9&amp;type=product&amp;tracking_id=c23ed1cd-2eda-422d-b58c-a8483077138d&amp;wid=MCO1575073313&amp;sid=search"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t="s">
        <v>328</v>
      </c>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329</v>
      </c>
      <c r="C7" s="46" t="s">
        <v>330</v>
      </c>
      <c r="D7" s="46" t="s">
        <v>331</v>
      </c>
      <c r="E7" s="46" t="s">
        <v>332</v>
      </c>
      <c r="F7" s="47" t="s">
        <v>333</v>
      </c>
      <c r="G7" s="48" t="s">
        <v>334</v>
      </c>
      <c r="H7" s="46" t="s">
        <v>10</v>
      </c>
      <c r="I7" s="46" t="s">
        <v>335</v>
      </c>
      <c r="J7" s="46" t="s">
        <v>336</v>
      </c>
      <c r="K7" s="10"/>
      <c r="L7" s="10"/>
      <c r="M7" s="10"/>
      <c r="N7" s="10"/>
      <c r="O7" s="10"/>
      <c r="P7" s="10"/>
      <c r="Q7" s="10"/>
      <c r="R7" s="10"/>
      <c r="S7" s="10"/>
      <c r="T7" s="10"/>
      <c r="U7" s="10"/>
      <c r="V7" s="10"/>
      <c r="W7" s="10"/>
      <c r="X7" s="10"/>
      <c r="Y7" s="10"/>
      <c r="Z7" s="10"/>
    </row>
    <row r="8" ht="50.25" customHeight="1">
      <c r="A8" s="58" t="s">
        <v>13</v>
      </c>
      <c r="B8" s="105" t="s">
        <v>120</v>
      </c>
      <c r="C8" s="107" t="s">
        <v>337</v>
      </c>
      <c r="D8" s="108" t="s">
        <v>338</v>
      </c>
      <c r="E8" s="79">
        <v>29000.0</v>
      </c>
      <c r="F8" s="102">
        <f t="shared" ref="F8:F10" si="1">E8*1.19</f>
        <v>34510</v>
      </c>
      <c r="G8" s="102">
        <v>8.86</v>
      </c>
      <c r="H8" s="102">
        <f t="shared" ref="H8:H10" si="2">G8*3900</f>
        <v>34554</v>
      </c>
      <c r="I8" s="105" t="s">
        <v>17</v>
      </c>
      <c r="J8" s="108" t="s">
        <v>339</v>
      </c>
    </row>
    <row r="9" ht="68.25" customHeight="1">
      <c r="A9" s="58" t="s">
        <v>19</v>
      </c>
      <c r="B9" s="105" t="s">
        <v>146</v>
      </c>
      <c r="C9" s="107" t="s">
        <v>340</v>
      </c>
      <c r="D9" s="108" t="s">
        <v>341</v>
      </c>
      <c r="E9" s="118">
        <v>42000.0</v>
      </c>
      <c r="F9" s="102">
        <f t="shared" si="1"/>
        <v>49980</v>
      </c>
      <c r="G9" s="102">
        <v>12.84</v>
      </c>
      <c r="H9" s="102">
        <f t="shared" si="2"/>
        <v>50076</v>
      </c>
      <c r="I9" s="105" t="s">
        <v>17</v>
      </c>
      <c r="J9" s="108" t="s">
        <v>342</v>
      </c>
    </row>
    <row r="10" ht="50.25" customHeight="1">
      <c r="A10" s="58" t="s">
        <v>24</v>
      </c>
      <c r="B10" s="99" t="s">
        <v>146</v>
      </c>
      <c r="C10" s="66" t="s">
        <v>147</v>
      </c>
      <c r="D10" s="100" t="s">
        <v>148</v>
      </c>
      <c r="E10" s="101">
        <v>119900.0</v>
      </c>
      <c r="F10" s="102">
        <f t="shared" si="1"/>
        <v>142681</v>
      </c>
      <c r="G10" s="111">
        <v>36.52</v>
      </c>
      <c r="H10" s="102">
        <f t="shared" si="2"/>
        <v>142428</v>
      </c>
      <c r="I10" s="105" t="s">
        <v>17</v>
      </c>
      <c r="J10" s="119" t="s">
        <v>149</v>
      </c>
    </row>
    <row r="11" ht="15.0" hidden="1" customHeight="1">
      <c r="A11" s="25"/>
      <c r="B11" s="64"/>
      <c r="C11" s="64"/>
      <c r="D11" s="64"/>
      <c r="E11" s="64"/>
      <c r="F11" s="64"/>
      <c r="G11" s="64"/>
      <c r="H11" s="64"/>
      <c r="I11" s="64"/>
      <c r="J11" s="64"/>
    </row>
    <row r="12" ht="12.75" customHeight="1"/>
    <row r="13" ht="138.75" customHeight="1">
      <c r="A13" s="27" t="s">
        <v>343</v>
      </c>
      <c r="B13" s="4"/>
      <c r="C13" s="4"/>
      <c r="D13" s="4"/>
      <c r="E13" s="4"/>
      <c r="F13" s="4"/>
      <c r="G13" s="4"/>
      <c r="H13" s="4"/>
      <c r="I13" s="4"/>
      <c r="J13" s="5"/>
    </row>
    <row r="14" ht="12.75" customHeight="1"/>
    <row r="15" ht="75.0" customHeight="1">
      <c r="A15" s="27" t="s">
        <v>344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nordic&amp;search_layout=stack&amp;position=26&amp;type=product&amp;tracking_id=cf30d6e6-2858-4afb-8771-15577523beb6&amp;wid=MCO1651585475&amp;sid=search"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345</v>
      </c>
      <c r="C7" s="46" t="s">
        <v>346</v>
      </c>
      <c r="D7" s="46" t="s">
        <v>347</v>
      </c>
      <c r="E7" s="46" t="s">
        <v>348</v>
      </c>
      <c r="F7" s="47" t="s">
        <v>349</v>
      </c>
      <c r="G7" s="48" t="s">
        <v>350</v>
      </c>
      <c r="H7" s="46" t="s">
        <v>10</v>
      </c>
      <c r="I7" s="46" t="s">
        <v>351</v>
      </c>
      <c r="J7" s="46" t="s">
        <v>352</v>
      </c>
      <c r="K7" s="10"/>
      <c r="L7" s="10"/>
      <c r="M7" s="10"/>
      <c r="N7" s="10"/>
      <c r="O7" s="10"/>
      <c r="P7" s="10"/>
      <c r="Q7" s="10"/>
      <c r="R7" s="10"/>
      <c r="S7" s="10"/>
      <c r="T7" s="10"/>
      <c r="U7" s="10"/>
      <c r="V7" s="10"/>
      <c r="W7" s="10"/>
      <c r="X7" s="10"/>
      <c r="Y7" s="10"/>
      <c r="Z7" s="10"/>
    </row>
    <row r="8" ht="50.25" customHeight="1">
      <c r="A8" s="58" t="s">
        <v>13</v>
      </c>
      <c r="B8" s="105" t="s">
        <v>353</v>
      </c>
      <c r="C8" s="107" t="s">
        <v>354</v>
      </c>
      <c r="D8" s="108" t="s">
        <v>355</v>
      </c>
      <c r="E8" s="79">
        <v>460000.0</v>
      </c>
      <c r="F8" s="102">
        <f t="shared" ref="F8:F10" si="1">E8*1.19</f>
        <v>547400</v>
      </c>
      <c r="G8" s="117">
        <f t="shared" ref="G8:G10" si="2">(F8+E8)/3900</f>
        <v>258.3076923</v>
      </c>
      <c r="H8" s="120">
        <f t="shared" ref="H8:H10" si="3">G8*3900</f>
        <v>1007400</v>
      </c>
      <c r="I8" s="105" t="s">
        <v>17</v>
      </c>
      <c r="J8" s="108" t="s">
        <v>356</v>
      </c>
    </row>
    <row r="9" ht="50.25" customHeight="1">
      <c r="A9" s="58" t="s">
        <v>19</v>
      </c>
      <c r="B9" s="105" t="s">
        <v>353</v>
      </c>
      <c r="C9" s="107" t="s">
        <v>357</v>
      </c>
      <c r="D9" s="108" t="s">
        <v>358</v>
      </c>
      <c r="E9" s="79">
        <v>640000.0</v>
      </c>
      <c r="F9" s="102">
        <f t="shared" si="1"/>
        <v>761600</v>
      </c>
      <c r="G9" s="117">
        <f t="shared" si="2"/>
        <v>359.3846154</v>
      </c>
      <c r="H9" s="120">
        <f t="shared" si="3"/>
        <v>1401600</v>
      </c>
      <c r="I9" s="105" t="s">
        <v>17</v>
      </c>
      <c r="J9" s="108" t="s">
        <v>359</v>
      </c>
    </row>
    <row r="10" ht="50.25" customHeight="1">
      <c r="A10" s="58" t="s">
        <v>24</v>
      </c>
      <c r="B10" s="105" t="s">
        <v>353</v>
      </c>
      <c r="C10" s="107" t="s">
        <v>360</v>
      </c>
      <c r="D10" s="108" t="s">
        <v>361</v>
      </c>
      <c r="E10" s="118">
        <v>890000.0</v>
      </c>
      <c r="F10" s="102">
        <f t="shared" si="1"/>
        <v>1059100</v>
      </c>
      <c r="G10" s="117">
        <f t="shared" si="2"/>
        <v>499.7692308</v>
      </c>
      <c r="H10" s="120">
        <f t="shared" si="3"/>
        <v>1949100</v>
      </c>
      <c r="I10" s="105" t="s">
        <v>17</v>
      </c>
      <c r="J10" s="105" t="s">
        <v>359</v>
      </c>
    </row>
    <row r="11" ht="15.0" hidden="1" customHeight="1">
      <c r="A11" s="25"/>
      <c r="B11" s="64"/>
      <c r="C11" s="64"/>
      <c r="D11" s="64"/>
      <c r="E11" s="64"/>
      <c r="F11" s="64"/>
      <c r="G11" s="121">
        <f>F11+E11</f>
        <v>0</v>
      </c>
      <c r="H11" s="64"/>
      <c r="I11" s="64"/>
      <c r="J11" s="64"/>
    </row>
    <row r="12" ht="12.75" customHeight="1">
      <c r="G12" s="122"/>
    </row>
    <row r="13" ht="138.75" customHeight="1">
      <c r="A13" s="27" t="s">
        <v>362</v>
      </c>
      <c r="B13" s="4"/>
      <c r="C13" s="4"/>
      <c r="D13" s="4"/>
      <c r="E13" s="4"/>
      <c r="F13" s="4"/>
      <c r="G13" s="4"/>
      <c r="H13" s="4"/>
      <c r="I13" s="4"/>
      <c r="J13" s="5"/>
    </row>
    <row r="14" ht="12.75" customHeight="1"/>
    <row r="15" ht="75.0" customHeight="1">
      <c r="A15" s="27" t="s">
        <v>363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364</v>
      </c>
      <c r="C7" s="46" t="s">
        <v>365</v>
      </c>
      <c r="D7" s="46" t="s">
        <v>366</v>
      </c>
      <c r="E7" s="46" t="s">
        <v>367</v>
      </c>
      <c r="F7" s="47" t="s">
        <v>368</v>
      </c>
      <c r="G7" s="48" t="s">
        <v>369</v>
      </c>
      <c r="H7" s="46" t="s">
        <v>10</v>
      </c>
      <c r="I7" s="46" t="s">
        <v>370</v>
      </c>
      <c r="J7" s="46" t="s">
        <v>371</v>
      </c>
      <c r="K7" s="10"/>
      <c r="L7" s="10"/>
      <c r="M7" s="10"/>
      <c r="N7" s="10"/>
      <c r="O7" s="10"/>
      <c r="P7" s="10"/>
      <c r="Q7" s="10"/>
      <c r="R7" s="10"/>
      <c r="S7" s="10"/>
      <c r="T7" s="10"/>
      <c r="U7" s="10"/>
      <c r="V7" s="10"/>
      <c r="W7" s="10"/>
      <c r="X7" s="10"/>
      <c r="Y7" s="10"/>
      <c r="Z7" s="10"/>
    </row>
    <row r="8" ht="50.25" customHeight="1">
      <c r="A8" s="58" t="s">
        <v>13</v>
      </c>
      <c r="B8" s="123" t="s">
        <v>372</v>
      </c>
      <c r="C8" s="124" t="s">
        <v>373</v>
      </c>
      <c r="D8" s="124" t="s">
        <v>374</v>
      </c>
      <c r="E8" s="125">
        <v>132865.0</v>
      </c>
      <c r="F8" s="126">
        <f t="shared" ref="F8:F10" si="1">E8*1.19</f>
        <v>158109.35</v>
      </c>
      <c r="G8" s="69">
        <v>40.96</v>
      </c>
      <c r="H8" s="127">
        <f t="shared" ref="H8:H10" si="2">G8*3900</f>
        <v>159744</v>
      </c>
      <c r="I8" s="128" t="s">
        <v>62</v>
      </c>
      <c r="J8" s="129"/>
    </row>
    <row r="9" ht="50.25" customHeight="1">
      <c r="A9" s="58" t="s">
        <v>19</v>
      </c>
      <c r="B9" s="123" t="s">
        <v>375</v>
      </c>
      <c r="C9" s="124" t="s">
        <v>376</v>
      </c>
      <c r="D9" s="123" t="s">
        <v>377</v>
      </c>
      <c r="E9" s="125">
        <v>99000.0</v>
      </c>
      <c r="F9" s="126">
        <f t="shared" si="1"/>
        <v>117810</v>
      </c>
      <c r="G9" s="69">
        <v>30.52</v>
      </c>
      <c r="H9" s="127">
        <f t="shared" si="2"/>
        <v>119028</v>
      </c>
      <c r="I9" s="128" t="s">
        <v>62</v>
      </c>
      <c r="J9" s="130" t="s">
        <v>378</v>
      </c>
    </row>
    <row r="10" ht="50.25" customHeight="1">
      <c r="A10" s="58" t="s">
        <v>24</v>
      </c>
      <c r="B10" s="128" t="s">
        <v>379</v>
      </c>
      <c r="C10" s="66" t="s">
        <v>380</v>
      </c>
      <c r="D10" s="131" t="s">
        <v>381</v>
      </c>
      <c r="E10" s="125">
        <v>2099099.0</v>
      </c>
      <c r="F10" s="126">
        <f t="shared" si="1"/>
        <v>2497927.81</v>
      </c>
      <c r="G10" s="69">
        <v>649.07</v>
      </c>
      <c r="H10" s="127">
        <f t="shared" si="2"/>
        <v>2531373</v>
      </c>
      <c r="I10" s="128" t="s">
        <v>62</v>
      </c>
      <c r="J10" s="130" t="s">
        <v>378</v>
      </c>
    </row>
    <row r="11" ht="15.0" hidden="1" customHeight="1">
      <c r="A11" s="25"/>
      <c r="B11" s="64"/>
      <c r="C11" s="64"/>
      <c r="D11" s="64"/>
      <c r="E11" s="64"/>
      <c r="F11" s="64"/>
      <c r="G11" s="64"/>
      <c r="H11" s="64"/>
      <c r="I11" s="64"/>
      <c r="J11" s="64"/>
    </row>
    <row r="12" ht="12.75" customHeight="1"/>
    <row r="13" ht="138.75" customHeight="1">
      <c r="A13" s="27" t="s">
        <v>382</v>
      </c>
      <c r="B13" s="4"/>
      <c r="C13" s="4"/>
      <c r="D13" s="4"/>
      <c r="E13" s="4"/>
      <c r="F13" s="4"/>
      <c r="G13" s="4"/>
      <c r="H13" s="4"/>
      <c r="I13" s="4"/>
      <c r="J13" s="5"/>
    </row>
    <row r="14" ht="12.75" customHeight="1"/>
    <row r="15" ht="75.0" customHeight="1">
      <c r="A15" s="27" t="s">
        <v>383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384</v>
      </c>
      <c r="C7" s="46" t="s">
        <v>385</v>
      </c>
      <c r="D7" s="46" t="s">
        <v>386</v>
      </c>
      <c r="E7" s="46" t="s">
        <v>387</v>
      </c>
      <c r="F7" s="47" t="s">
        <v>388</v>
      </c>
      <c r="G7" s="48" t="s">
        <v>389</v>
      </c>
      <c r="H7" s="46" t="s">
        <v>10</v>
      </c>
      <c r="I7" s="46" t="s">
        <v>390</v>
      </c>
      <c r="J7" s="46" t="s">
        <v>391</v>
      </c>
      <c r="K7" s="10"/>
      <c r="L7" s="10"/>
      <c r="M7" s="10"/>
      <c r="N7" s="10"/>
      <c r="O7" s="10"/>
      <c r="P7" s="10"/>
      <c r="Q7" s="10"/>
      <c r="R7" s="10"/>
      <c r="S7" s="10"/>
      <c r="T7" s="10"/>
      <c r="U7" s="10"/>
      <c r="V7" s="10"/>
      <c r="W7" s="10"/>
      <c r="X7" s="10"/>
      <c r="Y7" s="10"/>
      <c r="Z7" s="10"/>
    </row>
    <row r="8" ht="50.25" customHeight="1">
      <c r="A8" s="58" t="s">
        <v>13</v>
      </c>
      <c r="B8" s="132" t="s">
        <v>392</v>
      </c>
      <c r="C8" s="133" t="s">
        <v>393</v>
      </c>
      <c r="D8" s="134" t="s">
        <v>394</v>
      </c>
      <c r="E8" s="135">
        <v>39900.0</v>
      </c>
      <c r="F8" s="136">
        <f t="shared" ref="F8:F10" si="1">E8*1.19</f>
        <v>47481</v>
      </c>
      <c r="G8" s="137">
        <v>12.3</v>
      </c>
      <c r="H8" s="120">
        <f t="shared" ref="H8:H10" si="2">G8*3900</f>
        <v>47970</v>
      </c>
      <c r="I8" s="138" t="s">
        <v>17</v>
      </c>
      <c r="J8" s="139" t="s">
        <v>395</v>
      </c>
    </row>
    <row r="9" ht="50.25" customHeight="1">
      <c r="A9" s="58" t="s">
        <v>19</v>
      </c>
      <c r="B9" s="132" t="s">
        <v>396</v>
      </c>
      <c r="C9" s="140" t="s">
        <v>397</v>
      </c>
      <c r="D9" s="132" t="s">
        <v>398</v>
      </c>
      <c r="E9" s="135">
        <v>57874.0</v>
      </c>
      <c r="F9" s="136">
        <f t="shared" si="1"/>
        <v>68870.06</v>
      </c>
      <c r="G9" s="137">
        <v>17.84</v>
      </c>
      <c r="H9" s="120">
        <f t="shared" si="2"/>
        <v>69576</v>
      </c>
      <c r="I9" s="138" t="s">
        <v>17</v>
      </c>
      <c r="J9" s="138"/>
    </row>
    <row r="10" ht="50.25" customHeight="1">
      <c r="A10" s="58" t="s">
        <v>24</v>
      </c>
      <c r="B10" s="132" t="s">
        <v>399</v>
      </c>
      <c r="C10" s="141" t="s">
        <v>400</v>
      </c>
      <c r="D10" s="140" t="s">
        <v>401</v>
      </c>
      <c r="E10" s="135">
        <v>65935.0</v>
      </c>
      <c r="F10" s="136">
        <f t="shared" si="1"/>
        <v>78462.65</v>
      </c>
      <c r="G10" s="137">
        <v>20.32</v>
      </c>
      <c r="H10" s="120">
        <f t="shared" si="2"/>
        <v>79248</v>
      </c>
      <c r="I10" s="138" t="s">
        <v>17</v>
      </c>
      <c r="J10" s="138"/>
    </row>
    <row r="11" ht="15.0" hidden="1" customHeight="1">
      <c r="A11" s="25"/>
      <c r="B11" s="64"/>
      <c r="C11" s="64"/>
      <c r="D11" s="64"/>
      <c r="E11" s="64"/>
      <c r="F11" s="64"/>
      <c r="G11" s="64"/>
      <c r="H11" s="64"/>
      <c r="I11" s="64"/>
      <c r="J11" s="64"/>
    </row>
    <row r="12" ht="12.75" customHeight="1"/>
    <row r="13" ht="138.75" customHeight="1">
      <c r="A13" s="27" t="s">
        <v>402</v>
      </c>
      <c r="B13" s="4"/>
      <c r="C13" s="4"/>
      <c r="D13" s="4"/>
      <c r="E13" s="4"/>
      <c r="F13" s="4"/>
      <c r="G13" s="4"/>
      <c r="H13" s="4"/>
      <c r="I13" s="4"/>
      <c r="J13" s="5"/>
    </row>
    <row r="14" ht="12.75" customHeight="1"/>
    <row r="15" ht="75.0" customHeight="1">
      <c r="A15" s="27" t="s">
        <v>403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6" t="s">
        <v>404</v>
      </c>
      <c r="C7" s="46" t="s">
        <v>405</v>
      </c>
      <c r="D7" s="46" t="s">
        <v>406</v>
      </c>
      <c r="E7" s="46" t="s">
        <v>407</v>
      </c>
      <c r="F7" s="47" t="s">
        <v>408</v>
      </c>
      <c r="G7" s="48" t="s">
        <v>409</v>
      </c>
      <c r="H7" s="46" t="s">
        <v>10</v>
      </c>
      <c r="I7" s="46" t="s">
        <v>410</v>
      </c>
      <c r="J7" s="46" t="s">
        <v>411</v>
      </c>
      <c r="K7" s="10"/>
      <c r="L7" s="10"/>
      <c r="M7" s="10"/>
      <c r="N7" s="10"/>
      <c r="O7" s="10"/>
      <c r="P7" s="10"/>
      <c r="Q7" s="10"/>
      <c r="R7" s="10"/>
      <c r="S7" s="10"/>
      <c r="T7" s="10"/>
      <c r="U7" s="10"/>
      <c r="V7" s="10"/>
      <c r="W7" s="10"/>
      <c r="X7" s="10"/>
      <c r="Y7" s="10"/>
      <c r="Z7" s="10"/>
    </row>
    <row r="8" ht="50.25" customHeight="1">
      <c r="A8" s="58" t="s">
        <v>13</v>
      </c>
      <c r="B8" s="123" t="s">
        <v>372</v>
      </c>
      <c r="C8" s="124" t="s">
        <v>412</v>
      </c>
      <c r="D8" s="124" t="s">
        <v>413</v>
      </c>
      <c r="E8" s="142">
        <v>182260.0</v>
      </c>
      <c r="F8" s="143">
        <f t="shared" ref="F8:F10" si="1">E8*1.19</f>
        <v>216889.4</v>
      </c>
      <c r="G8" s="69">
        <v>56.17</v>
      </c>
      <c r="H8" s="144">
        <f t="shared" ref="H8:H10" si="2">G8*3900</f>
        <v>219063</v>
      </c>
      <c r="I8" s="105" t="s">
        <v>17</v>
      </c>
      <c r="J8" s="129"/>
    </row>
    <row r="9" ht="50.25" customHeight="1">
      <c r="A9" s="58" t="s">
        <v>19</v>
      </c>
      <c r="B9" s="123" t="s">
        <v>414</v>
      </c>
      <c r="C9" s="124" t="s">
        <v>415</v>
      </c>
      <c r="D9" s="123" t="s">
        <v>416</v>
      </c>
      <c r="E9" s="142">
        <v>202240.0</v>
      </c>
      <c r="F9" s="143">
        <f t="shared" si="1"/>
        <v>240665.6</v>
      </c>
      <c r="G9" s="69">
        <v>62.33</v>
      </c>
      <c r="H9" s="144">
        <f t="shared" si="2"/>
        <v>243087</v>
      </c>
      <c r="I9" s="105" t="s">
        <v>17</v>
      </c>
      <c r="J9" s="129"/>
    </row>
    <row r="10" ht="50.25" customHeight="1">
      <c r="A10" s="58" t="s">
        <v>24</v>
      </c>
      <c r="B10" s="99" t="s">
        <v>417</v>
      </c>
      <c r="C10" s="66" t="s">
        <v>418</v>
      </c>
      <c r="D10" s="106" t="s">
        <v>419</v>
      </c>
      <c r="E10" s="101">
        <v>145900.0</v>
      </c>
      <c r="F10" s="143">
        <f t="shared" si="1"/>
        <v>173621</v>
      </c>
      <c r="G10" s="69">
        <v>44.97</v>
      </c>
      <c r="H10" s="144">
        <f t="shared" si="2"/>
        <v>175383</v>
      </c>
      <c r="I10" s="105" t="s">
        <v>17</v>
      </c>
      <c r="J10" s="145"/>
    </row>
    <row r="11" ht="15.0" hidden="1" customHeight="1">
      <c r="A11" s="25"/>
      <c r="B11" s="64"/>
      <c r="C11" s="64"/>
      <c r="D11" s="64"/>
      <c r="E11" s="64"/>
      <c r="F11" s="64"/>
      <c r="G11" s="64"/>
      <c r="H11" s="64"/>
      <c r="I11" s="64"/>
      <c r="J11" s="64"/>
    </row>
    <row r="12" ht="12.75" customHeight="1"/>
    <row r="13" ht="138.75" customHeight="1">
      <c r="A13" s="27" t="s">
        <v>420</v>
      </c>
      <c r="B13" s="4"/>
      <c r="C13" s="4"/>
      <c r="D13" s="4"/>
      <c r="E13" s="4"/>
      <c r="F13" s="4"/>
      <c r="G13" s="4"/>
      <c r="H13" s="4"/>
      <c r="I13" s="4"/>
      <c r="J13" s="5"/>
    </row>
    <row r="14" ht="12.75" customHeight="1"/>
    <row r="15" ht="75.0" customHeight="1">
      <c r="A15" s="27" t="s">
        <v>421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