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estre 1" sheetId="1" r:id="rId4"/>
    <sheet state="visible" name="Trimestre 2" sheetId="2" r:id="rId5"/>
  </sheets>
  <definedNames/>
  <calcPr/>
  <extLst>
    <ext uri="GoogleSheetsCustomDataVersion2">
      <go:sheetsCustomData xmlns:go="http://customooxmlschemas.google.com/" r:id="rId6" roundtripDataChecksum="iDVsztNugqrz+xEQp9WQpF1574/zE/9aPWW++3XGFvw="/>
    </ext>
  </extLst>
</workbook>
</file>

<file path=xl/sharedStrings.xml><?xml version="1.0" encoding="utf-8"?>
<sst xmlns="http://schemas.openxmlformats.org/spreadsheetml/2006/main" count="120" uniqueCount="46">
  <si>
    <t>INICIO DEL PROYECTO</t>
  </si>
  <si>
    <t>TAREA</t>
  </si>
  <si>
    <t>RESPONSABLE</t>
  </si>
  <si>
    <t>PROGRESO</t>
  </si>
  <si>
    <t>INICIO</t>
  </si>
  <si>
    <t xml:space="preserve">FIN </t>
  </si>
  <si>
    <t>TRIMESTRE 1</t>
  </si>
  <si>
    <t xml:space="preserve">1.Planteamiento del problema </t>
  </si>
  <si>
    <t>Kamell Noguera</t>
  </si>
  <si>
    <t>2. General Objetivo</t>
  </si>
  <si>
    <t>Juan Lozano</t>
  </si>
  <si>
    <t xml:space="preserve">2.1 Especifico Objetivo </t>
  </si>
  <si>
    <t>Mariana Gonzalez</t>
  </si>
  <si>
    <t>3. Justificacion del Proyecto</t>
  </si>
  <si>
    <t>Santiago Cardenas</t>
  </si>
  <si>
    <t xml:space="preserve">4. Antecedentes </t>
  </si>
  <si>
    <t>6. Recoleccion de Informacion</t>
  </si>
  <si>
    <t>6.1 Encuesta y Analisis</t>
  </si>
  <si>
    <t>7. Requerimientos  F/NF</t>
  </si>
  <si>
    <t>8. Mockups</t>
  </si>
  <si>
    <t>9. Presentacion I Trimestre</t>
  </si>
  <si>
    <t>Mapas I Trimestre</t>
  </si>
  <si>
    <t>1.1Formato IEEE830</t>
  </si>
  <si>
    <t>1.2Diagrama BPMN</t>
  </si>
  <si>
    <t>1.3Diagrama de casos de uso</t>
  </si>
  <si>
    <t>1.4Mapa de Procesos</t>
  </si>
  <si>
    <t xml:space="preserve">ARCHIVO </t>
  </si>
  <si>
    <t>Abrir</t>
  </si>
  <si>
    <t>TRIMESTRE 2</t>
  </si>
  <si>
    <t>1. Cuadro de Cotizacion</t>
  </si>
  <si>
    <t>Grupo</t>
  </si>
  <si>
    <t>2. Informe de Costos</t>
  </si>
  <si>
    <t>3. Comparacion de precios</t>
  </si>
  <si>
    <t>4. Casos de uso extendido</t>
  </si>
  <si>
    <t xml:space="preserve">4.1 Diagrama de casos de uso </t>
  </si>
  <si>
    <t>5. Diagrama Relacional</t>
  </si>
  <si>
    <t>6. Modelo Entidad Relacion</t>
  </si>
  <si>
    <t>7. Diagrama de Clases</t>
  </si>
  <si>
    <t>8. Diagrama de despliegue</t>
  </si>
  <si>
    <t xml:space="preserve">9.Normalizacion base de datos </t>
  </si>
  <si>
    <t xml:space="preserve">10. Diccionario de datos </t>
  </si>
  <si>
    <t xml:space="preserve">10.1 Diccionario de datos MySQL
</t>
  </si>
  <si>
    <t xml:space="preserve">11 Ficha tecnica </t>
  </si>
  <si>
    <t>12 Creacion de Repositorio</t>
  </si>
  <si>
    <t>ARCHIVO</t>
  </si>
  <si>
    <t>link de archivo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</si>
</sst>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d\,\ dd/mm/yyyy"/>
    <numFmt numFmtId="166" formatCode="ddd\,dd/mm/yyyy"/>
    <numFmt numFmtId="167" formatCode="dd"/>
    <numFmt numFmtId="168" formatCode="d/m/yyyy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sz val="11.0"/>
      <color theme="0"/>
      <name val="Aptos Narrow"/>
    </font>
    <font>
      <sz val="9.0"/>
      <color theme="1"/>
      <name val="Aptos Narrow"/>
    </font>
    <font>
      <b/>
      <sz val="9.0"/>
      <color theme="1"/>
      <name val="Aptos Narrow"/>
    </font>
    <font>
      <sz val="11.0"/>
      <color theme="10"/>
      <name val="Aptos Narrow"/>
    </font>
    <font>
      <u/>
      <sz val="11.0"/>
      <color theme="10"/>
      <name val="Aptos Narrow"/>
    </font>
    <font>
      <u/>
      <sz val="11.0"/>
      <color rgb="FF0000FF"/>
      <name val="Arial"/>
    </font>
    <font>
      <b/>
      <sz val="11.0"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20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F2F2F2"/>
      </left>
      <right style="thin">
        <color rgb="FFF2F2F2"/>
      </right>
      <top style="thin">
        <color rgb="FFF2F2F2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F2F2F2"/>
      </left>
      <right style="thin">
        <color rgb="FFF2F2F2"/>
      </right>
      <top/>
      <bottom/>
    </border>
    <border>
      <top style="thin">
        <color theme="1"/>
      </top>
      <bottom style="thin">
        <color theme="1"/>
      </bottom>
    </border>
    <border>
      <top style="thin">
        <color theme="1"/>
      </top>
    </border>
    <border>
      <left style="thin">
        <color rgb="FFF2F2F2"/>
      </left>
      <right style="thin">
        <color rgb="FFF2F2F2"/>
      </right>
      <top/>
      <bottom style="thin">
        <color rgb="FFF2F2F2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1" numFmtId="0" xfId="0" applyBorder="1" applyFill="1" applyFont="1"/>
    <xf borderId="2" fillId="3" fontId="2" numFmtId="165" xfId="0" applyAlignment="1" applyBorder="1" applyFill="1" applyFont="1" applyNumberForma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3" fontId="2" numFmtId="165" xfId="0" applyAlignment="1" applyBorder="1" applyFont="1" applyNumberFormat="1">
      <alignment horizontal="left" vertical="center"/>
    </xf>
    <xf borderId="6" fillId="0" fontId="3" numFmtId="0" xfId="0" applyBorder="1" applyFont="1"/>
    <xf borderId="7" fillId="4" fontId="1" numFmtId="0" xfId="0" applyBorder="1" applyFill="1" applyFont="1"/>
    <xf borderId="8" fillId="5" fontId="4" numFmtId="0" xfId="0" applyBorder="1" applyFill="1" applyFont="1"/>
    <xf borderId="8" fillId="5" fontId="4" numFmtId="0" xfId="0" applyAlignment="1" applyBorder="1" applyFont="1">
      <alignment horizontal="right"/>
    </xf>
    <xf borderId="9" fillId="6" fontId="1" numFmtId="166" xfId="0" applyAlignment="1" applyBorder="1" applyFill="1" applyFont="1" applyNumberFormat="1">
      <alignment horizontal="center"/>
    </xf>
    <xf borderId="10" fillId="0" fontId="3" numFmtId="0" xfId="0" applyBorder="1" applyFont="1"/>
    <xf borderId="1" fillId="2" fontId="5" numFmtId="0" xfId="0" applyBorder="1" applyFont="1"/>
    <xf borderId="11" fillId="3" fontId="6" numFmtId="167" xfId="0" applyAlignment="1" applyBorder="1" applyFont="1" applyNumberFormat="1">
      <alignment horizontal="center" vertical="center"/>
    </xf>
    <xf borderId="1" fillId="3" fontId="6" numFmtId="167" xfId="0" applyAlignment="1" applyBorder="1" applyFont="1" applyNumberFormat="1">
      <alignment horizontal="center" vertical="center"/>
    </xf>
    <xf borderId="12" fillId="3" fontId="6" numFmtId="167" xfId="0" applyAlignment="1" applyBorder="1" applyFont="1" applyNumberFormat="1">
      <alignment horizontal="center" vertical="center"/>
    </xf>
    <xf borderId="13" fillId="4" fontId="1" numFmtId="0" xfId="0" applyBorder="1" applyFont="1"/>
    <xf borderId="1" fillId="7" fontId="2" numFmtId="0" xfId="0" applyAlignment="1" applyBorder="1" applyFill="1" applyFont="1">
      <alignment horizontal="center"/>
    </xf>
    <xf borderId="1" fillId="7" fontId="1" numFmtId="0" xfId="0" applyBorder="1" applyFont="1"/>
    <xf borderId="1" fillId="7" fontId="6" numFmtId="0" xfId="0" applyAlignment="1" applyBorder="1" applyFont="1">
      <alignment horizontal="center" vertical="center"/>
    </xf>
    <xf borderId="14" fillId="0" fontId="2" numFmtId="0" xfId="0" applyBorder="1" applyFont="1"/>
    <xf borderId="14" fillId="0" fontId="1" numFmtId="0" xfId="0" applyBorder="1" applyFont="1"/>
    <xf borderId="14" fillId="0" fontId="1" numFmtId="9" xfId="0" applyAlignment="1" applyBorder="1" applyFont="1" applyNumberFormat="1">
      <alignment horizontal="center"/>
    </xf>
    <xf borderId="14" fillId="0" fontId="1" numFmtId="164" xfId="0" applyAlignment="1" applyBorder="1" applyFont="1" applyNumberFormat="1">
      <alignment horizontal="center"/>
    </xf>
    <xf borderId="13" fillId="4" fontId="7" numFmtId="0" xfId="0" applyBorder="1" applyFont="1"/>
    <xf borderId="7" fillId="4" fontId="7" numFmtId="0" xfId="0" applyBorder="1" applyFont="1"/>
    <xf borderId="15" fillId="0" fontId="1" numFmtId="0" xfId="0" applyBorder="1" applyFont="1"/>
    <xf borderId="15" fillId="0" fontId="1" numFmtId="9" xfId="0" applyAlignment="1" applyBorder="1" applyFont="1" applyNumberFormat="1">
      <alignment horizontal="center"/>
    </xf>
    <xf borderId="15" fillId="0" fontId="1" numFmtId="164" xfId="0" applyAlignment="1" applyBorder="1" applyFont="1" applyNumberFormat="1">
      <alignment horizontal="center"/>
    </xf>
    <xf borderId="16" fillId="4" fontId="1" numFmtId="0" xfId="0" applyBorder="1" applyFont="1"/>
    <xf borderId="0" fillId="0" fontId="2" numFmtId="0" xfId="0" applyFont="1"/>
    <xf borderId="0" fillId="0" fontId="1" numFmtId="168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8" fillId="3" fontId="2" numFmtId="0" xfId="0" applyBorder="1" applyFont="1"/>
    <xf borderId="8" fillId="3" fontId="1" numFmtId="0" xfId="0" applyBorder="1" applyFont="1"/>
    <xf borderId="8" fillId="0" fontId="1" numFmtId="0" xfId="0" applyBorder="1" applyFont="1"/>
    <xf borderId="8" fillId="0" fontId="8" numFmtId="0" xfId="0" applyBorder="1" applyFont="1"/>
    <xf borderId="8" fillId="0" fontId="9" numFmtId="0" xfId="0" applyAlignment="1" applyBorder="1" applyFont="1">
      <alignment readingOrder="0"/>
    </xf>
    <xf borderId="0" fillId="0" fontId="1" numFmtId="168" xfId="0" applyFont="1" applyNumberFormat="1"/>
    <xf borderId="17" fillId="5" fontId="4" numFmtId="0" xfId="0" applyBorder="1" applyFont="1"/>
    <xf borderId="17" fillId="5" fontId="4" numFmtId="0" xfId="0" applyAlignment="1" applyBorder="1" applyFont="1">
      <alignment horizontal="right"/>
    </xf>
    <xf borderId="2" fillId="6" fontId="1" numFmtId="166" xfId="0" applyAlignment="1" applyBorder="1" applyFont="1" applyNumberFormat="1">
      <alignment horizontal="center"/>
    </xf>
    <xf borderId="17" fillId="7" fontId="2" numFmtId="0" xfId="0" applyAlignment="1" applyBorder="1" applyFont="1">
      <alignment horizontal="center"/>
    </xf>
    <xf borderId="17" fillId="7" fontId="1" numFmtId="0" xfId="0" applyBorder="1" applyFont="1"/>
    <xf borderId="17" fillId="7" fontId="6" numFmtId="0" xfId="0" applyAlignment="1" applyBorder="1" applyFont="1">
      <alignment horizontal="center" vertical="center"/>
    </xf>
    <xf borderId="18" fillId="0" fontId="2" numFmtId="0" xfId="0" applyBorder="1" applyFont="1"/>
    <xf borderId="18" fillId="0" fontId="1" numFmtId="0" xfId="0" applyBorder="1" applyFont="1"/>
    <xf borderId="18" fillId="0" fontId="1" numFmtId="9" xfId="0" applyAlignment="1" applyBorder="1" applyFont="1" applyNumberFormat="1">
      <alignment horizontal="center"/>
    </xf>
    <xf borderId="18" fillId="0" fontId="1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9" fillId="0" fontId="1" numFmtId="0" xfId="0" applyBorder="1" applyFont="1"/>
    <xf borderId="19" fillId="0" fontId="1" numFmtId="9" xfId="0" applyAlignment="1" applyBorder="1" applyFont="1" applyNumberFormat="1">
      <alignment horizontal="center"/>
    </xf>
    <xf borderId="19" fillId="0" fontId="1" numFmtId="164" xfId="0" applyAlignment="1" applyBorder="1" applyFont="1" applyNumberFormat="1">
      <alignment horizontal="center"/>
    </xf>
    <xf borderId="8" fillId="5" fontId="10" numFmtId="0" xfId="0" applyBorder="1" applyFont="1"/>
    <xf borderId="8" fillId="5" fontId="1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8ED873"/>
          <bgColor rgb="FF8ED873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HTIRNJ_bAYTzAaSxKtWaxcxhW92C-sD/edit?usp=drive_link&amp;ouid=111566450765270646432&amp;rtpof=true&amp;sd=true" TargetMode="External"/><Relationship Id="rId2" Type="http://schemas.openxmlformats.org/officeDocument/2006/relationships/hyperlink" Target="https://drive.google.com/file/d/1KoxLEiFrRGHphR_UKRNpO0tgoWuS_Dev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ShIMkNS-YQoRKwoyTzm8wgAJrE_S4xJp/edit?usp=drive_link&amp;ouid=111566450765270646432&amp;rtpof=true&amp;sd=true" TargetMode="External"/><Relationship Id="rId10" Type="http://schemas.openxmlformats.org/officeDocument/2006/relationships/hyperlink" Target="https://docs.google.com/spreadsheets/d/1zm3cmJBwad2XXhnPViqqGc_mcGGqo0C8s3T8KQ9uykc/edit?usp=drive_link" TargetMode="External"/><Relationship Id="rId13" Type="http://schemas.openxmlformats.org/officeDocument/2006/relationships/hyperlink" Target="https://docs.google.com/document/d/1Xg04Ev5vHcdJDd6P3uCGrEc1lvTKQptQ/edit?usp=drive_link&amp;ouid=111566450765270646432&amp;rtpof=true&amp;sd=true" TargetMode="External"/><Relationship Id="rId12" Type="http://schemas.openxmlformats.org/officeDocument/2006/relationships/hyperlink" Target="https://drive.google.com/file/d/13sY97yPz3dNYlPMLDaTGJrw3zHC8vOpn/view?usp=drive_link" TargetMode="External"/><Relationship Id="rId1" Type="http://schemas.openxmlformats.org/officeDocument/2006/relationships/hyperlink" Target="https://docs.google.com/spreadsheets/d/1FhIKGZrYcbkJewNNdAJSbJFx1pQuRSFW/edit?usp=drive_link&amp;ouid=111566450765270646432&amp;rtpof=true&amp;sd=true" TargetMode="External"/><Relationship Id="rId2" Type="http://schemas.openxmlformats.org/officeDocument/2006/relationships/hyperlink" Target="https://docs.google.com/document/d/10snrqDgXyk0vp9TtZCpwZC5sz3J5tPrD/edit?usp=drive_link&amp;ouid=111566450765270646432&amp;rtpof=true&amp;sd=true" TargetMode="External"/><Relationship Id="rId3" Type="http://schemas.openxmlformats.org/officeDocument/2006/relationships/hyperlink" Target="https://docs.google.com/spreadsheets/d/15hnYGocB6J-0ehcetHBKx5_ZneroP6UK/edit?usp=drive_link&amp;ouid=111566450765270646432&amp;rtpof=true&amp;sd=true" TargetMode="External"/><Relationship Id="rId4" Type="http://schemas.openxmlformats.org/officeDocument/2006/relationships/hyperlink" Target="https://drive.google.com/file/d/15YW5xzFJP5LTxxnPklU7z0HGt7O-u2Fj/view?usp=drive_link" TargetMode="External"/><Relationship Id="rId9" Type="http://schemas.openxmlformats.org/officeDocument/2006/relationships/hyperlink" Target="https://drive.google.com/file/d/10_g0EbYtJsJ_tXZ22sx5azB0PfKkTOZl/view?usp=drive_link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github.com/juanlozano17/GRUPO-FIRME.git" TargetMode="External"/><Relationship Id="rId5" Type="http://schemas.openxmlformats.org/officeDocument/2006/relationships/hyperlink" Target="https://drive.google.com/file/d/1R2tAL9RqktQFAmykRMbtKF45HMwbNyoA/view?usp=drive_link" TargetMode="External"/><Relationship Id="rId6" Type="http://schemas.openxmlformats.org/officeDocument/2006/relationships/hyperlink" Target="https://drive.google.com/file/d/1xIQBj1cmX-FsbYbRDdiwkymIp7sKcSN4/view?usp=drive_link" TargetMode="External"/><Relationship Id="rId7" Type="http://schemas.openxmlformats.org/officeDocument/2006/relationships/hyperlink" Target="https://drive.google.com/file/d/1wl135sKEpE6eLqcimtUPO9LbCifFSh7V/view?usp=drive_link" TargetMode="External"/><Relationship Id="rId8" Type="http://schemas.openxmlformats.org/officeDocument/2006/relationships/hyperlink" Target="https://drive.google.com/file/d/1ndE-WOEMACjQK3IPZ67GDkBmFz3WO8b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5E99"/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5" width="11.75"/>
    <col customWidth="1" min="6" max="39" width="3.75"/>
    <col customWidth="1" min="40" max="40" width="13.75"/>
  </cols>
  <sheetData>
    <row r="1" ht="14.25" customHeight="1"/>
    <row r="2" ht="14.25" customHeight="1"/>
    <row r="3" ht="14.25" customHeight="1">
      <c r="AN3" s="1"/>
    </row>
    <row r="4" ht="19.5" customHeight="1">
      <c r="D4" s="2">
        <v>0.0</v>
      </c>
      <c r="E4" s="3">
        <f>D5+D4</f>
        <v>45930</v>
      </c>
      <c r="F4" s="4"/>
      <c r="G4" s="5">
        <f>G5</f>
        <v>45930</v>
      </c>
      <c r="H4" s="6"/>
      <c r="I4" s="6"/>
      <c r="J4" s="6"/>
      <c r="K4" s="7"/>
      <c r="L4" s="5">
        <f>L5</f>
        <v>45935</v>
      </c>
      <c r="M4" s="6"/>
      <c r="N4" s="6"/>
      <c r="O4" s="6"/>
      <c r="P4" s="6"/>
      <c r="Q4" s="6"/>
      <c r="R4" s="7"/>
      <c r="S4" s="5">
        <f>S5</f>
        <v>45942</v>
      </c>
      <c r="T4" s="6"/>
      <c r="U4" s="6"/>
      <c r="V4" s="6"/>
      <c r="W4" s="6"/>
      <c r="X4" s="6"/>
      <c r="Y4" s="7"/>
      <c r="Z4" s="5">
        <f>Z5</f>
        <v>45949</v>
      </c>
      <c r="AA4" s="6"/>
      <c r="AB4" s="6"/>
      <c r="AC4" s="6"/>
      <c r="AD4" s="6"/>
      <c r="AE4" s="6"/>
      <c r="AF4" s="7"/>
      <c r="AG4" s="8">
        <f>AG5</f>
        <v>45956</v>
      </c>
      <c r="AH4" s="6"/>
      <c r="AI4" s="6"/>
      <c r="AJ4" s="6"/>
      <c r="AK4" s="6"/>
      <c r="AL4" s="6"/>
      <c r="AM4" s="9"/>
      <c r="AN4" s="10"/>
      <c r="AO4" s="1"/>
    </row>
    <row r="5" ht="14.25" customHeight="1">
      <c r="B5" s="11"/>
      <c r="C5" s="12" t="s">
        <v>0</v>
      </c>
      <c r="D5" s="13">
        <f>DATE(2025,10,1)+$D$4-1</f>
        <v>45930</v>
      </c>
      <c r="E5" s="14"/>
      <c r="F5" s="15"/>
      <c r="G5" s="16">
        <f>D5</f>
        <v>45930</v>
      </c>
      <c r="H5" s="17">
        <f t="shared" ref="H5:AM5" si="1">G5+1</f>
        <v>45931</v>
      </c>
      <c r="I5" s="17">
        <f t="shared" si="1"/>
        <v>45932</v>
      </c>
      <c r="J5" s="17">
        <f t="shared" si="1"/>
        <v>45933</v>
      </c>
      <c r="K5" s="18">
        <f t="shared" si="1"/>
        <v>45934</v>
      </c>
      <c r="L5" s="16">
        <f t="shared" si="1"/>
        <v>45935</v>
      </c>
      <c r="M5" s="17">
        <f t="shared" si="1"/>
        <v>45936</v>
      </c>
      <c r="N5" s="17">
        <f t="shared" si="1"/>
        <v>45937</v>
      </c>
      <c r="O5" s="17">
        <f t="shared" si="1"/>
        <v>45938</v>
      </c>
      <c r="P5" s="17">
        <f t="shared" si="1"/>
        <v>45939</v>
      </c>
      <c r="Q5" s="17">
        <f t="shared" si="1"/>
        <v>45940</v>
      </c>
      <c r="R5" s="18">
        <f t="shared" si="1"/>
        <v>45941</v>
      </c>
      <c r="S5" s="16">
        <f t="shared" si="1"/>
        <v>45942</v>
      </c>
      <c r="T5" s="17">
        <f t="shared" si="1"/>
        <v>45943</v>
      </c>
      <c r="U5" s="17">
        <f t="shared" si="1"/>
        <v>45944</v>
      </c>
      <c r="V5" s="17">
        <f t="shared" si="1"/>
        <v>45945</v>
      </c>
      <c r="W5" s="17">
        <f t="shared" si="1"/>
        <v>45946</v>
      </c>
      <c r="X5" s="17">
        <f t="shared" si="1"/>
        <v>45947</v>
      </c>
      <c r="Y5" s="18">
        <f t="shared" si="1"/>
        <v>45948</v>
      </c>
      <c r="Z5" s="16">
        <f t="shared" si="1"/>
        <v>45949</v>
      </c>
      <c r="AA5" s="17">
        <f t="shared" si="1"/>
        <v>45950</v>
      </c>
      <c r="AB5" s="17">
        <f t="shared" si="1"/>
        <v>45951</v>
      </c>
      <c r="AC5" s="17">
        <f t="shared" si="1"/>
        <v>45952</v>
      </c>
      <c r="AD5" s="17">
        <f t="shared" si="1"/>
        <v>45953</v>
      </c>
      <c r="AE5" s="17">
        <f t="shared" si="1"/>
        <v>45954</v>
      </c>
      <c r="AF5" s="18">
        <f t="shared" si="1"/>
        <v>45955</v>
      </c>
      <c r="AG5" s="17">
        <f t="shared" si="1"/>
        <v>45956</v>
      </c>
      <c r="AH5" s="17">
        <f t="shared" si="1"/>
        <v>45957</v>
      </c>
      <c r="AI5" s="17">
        <f t="shared" si="1"/>
        <v>45958</v>
      </c>
      <c r="AJ5" s="17">
        <f t="shared" si="1"/>
        <v>45959</v>
      </c>
      <c r="AK5" s="17">
        <f t="shared" si="1"/>
        <v>45960</v>
      </c>
      <c r="AL5" s="17">
        <f t="shared" si="1"/>
        <v>45961</v>
      </c>
      <c r="AM5" s="17">
        <f t="shared" si="1"/>
        <v>45962</v>
      </c>
      <c r="AN5" s="19"/>
      <c r="AO5" s="1"/>
    </row>
    <row r="6" ht="19.5" customHeight="1">
      <c r="A6" s="20" t="s">
        <v>1</v>
      </c>
      <c r="B6" s="20" t="s">
        <v>2</v>
      </c>
      <c r="C6" s="20" t="s">
        <v>3</v>
      </c>
      <c r="D6" s="20" t="s">
        <v>4</v>
      </c>
      <c r="E6" s="20" t="s">
        <v>5</v>
      </c>
      <c r="F6" s="21"/>
      <c r="G6" s="22" t="str">
        <f t="shared" ref="G6:AM6" si="2">UPPER(LEFT(TEXT(G5,"ddd"),1))</f>
        <v>M</v>
      </c>
      <c r="H6" s="22" t="str">
        <f t="shared" si="2"/>
        <v>M</v>
      </c>
      <c r="I6" s="22" t="str">
        <f t="shared" si="2"/>
        <v>J</v>
      </c>
      <c r="J6" s="22" t="str">
        <f t="shared" si="2"/>
        <v>V</v>
      </c>
      <c r="K6" s="22" t="str">
        <f t="shared" si="2"/>
        <v>S</v>
      </c>
      <c r="L6" s="22" t="str">
        <f t="shared" si="2"/>
        <v>D</v>
      </c>
      <c r="M6" s="22" t="str">
        <f t="shared" si="2"/>
        <v>L</v>
      </c>
      <c r="N6" s="22" t="str">
        <f t="shared" si="2"/>
        <v>M</v>
      </c>
      <c r="O6" s="22" t="str">
        <f t="shared" si="2"/>
        <v>M</v>
      </c>
      <c r="P6" s="22" t="str">
        <f t="shared" si="2"/>
        <v>J</v>
      </c>
      <c r="Q6" s="22" t="str">
        <f t="shared" si="2"/>
        <v>V</v>
      </c>
      <c r="R6" s="22" t="str">
        <f t="shared" si="2"/>
        <v>S</v>
      </c>
      <c r="S6" s="22" t="str">
        <f t="shared" si="2"/>
        <v>D</v>
      </c>
      <c r="T6" s="22" t="str">
        <f t="shared" si="2"/>
        <v>L</v>
      </c>
      <c r="U6" s="22" t="str">
        <f t="shared" si="2"/>
        <v>M</v>
      </c>
      <c r="V6" s="22" t="str">
        <f t="shared" si="2"/>
        <v>M</v>
      </c>
      <c r="W6" s="22" t="str">
        <f t="shared" si="2"/>
        <v>J</v>
      </c>
      <c r="X6" s="22" t="str">
        <f t="shared" si="2"/>
        <v>V</v>
      </c>
      <c r="Y6" s="22" t="str">
        <f t="shared" si="2"/>
        <v>S</v>
      </c>
      <c r="Z6" s="22" t="str">
        <f t="shared" si="2"/>
        <v>D</v>
      </c>
      <c r="AA6" s="22" t="str">
        <f t="shared" si="2"/>
        <v>L</v>
      </c>
      <c r="AB6" s="22" t="str">
        <f t="shared" si="2"/>
        <v>M</v>
      </c>
      <c r="AC6" s="22" t="str">
        <f t="shared" si="2"/>
        <v>M</v>
      </c>
      <c r="AD6" s="22" t="str">
        <f t="shared" si="2"/>
        <v>J</v>
      </c>
      <c r="AE6" s="22" t="str">
        <f t="shared" si="2"/>
        <v>V</v>
      </c>
      <c r="AF6" s="22" t="str">
        <f t="shared" si="2"/>
        <v>S</v>
      </c>
      <c r="AG6" s="22" t="str">
        <f t="shared" si="2"/>
        <v>D</v>
      </c>
      <c r="AH6" s="22" t="str">
        <f t="shared" si="2"/>
        <v>L</v>
      </c>
      <c r="AI6" s="22" t="str">
        <f t="shared" si="2"/>
        <v>M</v>
      </c>
      <c r="AJ6" s="22" t="str">
        <f t="shared" si="2"/>
        <v>M</v>
      </c>
      <c r="AK6" s="22" t="str">
        <f t="shared" si="2"/>
        <v>J</v>
      </c>
      <c r="AL6" s="22" t="str">
        <f t="shared" si="2"/>
        <v>V</v>
      </c>
      <c r="AM6" s="22" t="str">
        <f t="shared" si="2"/>
        <v>S</v>
      </c>
      <c r="AN6" s="19"/>
      <c r="AO6" s="1"/>
    </row>
    <row r="7" ht="14.25" customHeight="1">
      <c r="A7" s="23" t="s">
        <v>6</v>
      </c>
      <c r="B7" s="24"/>
      <c r="C7" s="25"/>
      <c r="D7" s="26"/>
      <c r="E7" s="26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19"/>
      <c r="AO7" s="1"/>
    </row>
    <row r="8" ht="14.25" customHeight="1">
      <c r="A8" s="24" t="s">
        <v>7</v>
      </c>
      <c r="B8" s="24" t="s">
        <v>8</v>
      </c>
      <c r="C8" s="25">
        <v>0.9</v>
      </c>
      <c r="D8" s="26">
        <v>45930.0</v>
      </c>
      <c r="E8" s="26">
        <v>45943.0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7"/>
      <c r="AO8" s="1"/>
    </row>
    <row r="9" ht="14.25" customHeight="1">
      <c r="A9" s="24" t="s">
        <v>9</v>
      </c>
      <c r="B9" s="24" t="s">
        <v>10</v>
      </c>
      <c r="C9" s="25">
        <v>1.0</v>
      </c>
      <c r="D9" s="26">
        <v>45930.0</v>
      </c>
      <c r="E9" s="26">
        <v>45942.0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7"/>
      <c r="AO9" s="1"/>
    </row>
    <row r="10" ht="14.25" customHeight="1">
      <c r="A10" s="24" t="s">
        <v>11</v>
      </c>
      <c r="B10" s="24" t="s">
        <v>12</v>
      </c>
      <c r="C10" s="25">
        <v>1.0</v>
      </c>
      <c r="D10" s="26">
        <v>45930.0</v>
      </c>
      <c r="E10" s="26">
        <v>45942.0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7"/>
      <c r="AO10" s="1"/>
    </row>
    <row r="11" ht="14.25" customHeight="1">
      <c r="A11" s="24" t="s">
        <v>13</v>
      </c>
      <c r="B11" s="24" t="s">
        <v>14</v>
      </c>
      <c r="C11" s="25">
        <v>1.0</v>
      </c>
      <c r="D11" s="26">
        <v>45930.0</v>
      </c>
      <c r="E11" s="26">
        <v>45943.0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7"/>
      <c r="AO11" s="1"/>
    </row>
    <row r="12" ht="14.25" customHeight="1">
      <c r="A12" s="24" t="s">
        <v>15</v>
      </c>
      <c r="B12" s="24" t="s">
        <v>10</v>
      </c>
      <c r="C12" s="25">
        <v>1.0</v>
      </c>
      <c r="D12" s="26">
        <v>45930.0</v>
      </c>
      <c r="E12" s="26">
        <v>45947.0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8"/>
      <c r="AO12" s="1"/>
    </row>
    <row r="13" ht="14.25" customHeight="1">
      <c r="A13" s="24" t="s">
        <v>16</v>
      </c>
      <c r="B13" s="24" t="s">
        <v>12</v>
      </c>
      <c r="C13" s="25">
        <v>1.0</v>
      </c>
      <c r="D13" s="26">
        <v>45930.0</v>
      </c>
      <c r="E13" s="26">
        <v>45935.0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19"/>
      <c r="AO13" s="1"/>
    </row>
    <row r="14" ht="14.25" customHeight="1">
      <c r="A14" s="24" t="s">
        <v>17</v>
      </c>
      <c r="B14" s="24" t="s">
        <v>12</v>
      </c>
      <c r="C14" s="25">
        <v>1.0</v>
      </c>
      <c r="D14" s="26">
        <v>45930.0</v>
      </c>
      <c r="E14" s="26">
        <v>45947.0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19"/>
      <c r="AO14" s="1"/>
    </row>
    <row r="15" ht="14.25" customHeight="1">
      <c r="A15" s="24" t="s">
        <v>18</v>
      </c>
      <c r="B15" s="24" t="s">
        <v>8</v>
      </c>
      <c r="C15" s="25">
        <v>1.0</v>
      </c>
      <c r="D15" s="26">
        <v>45930.0</v>
      </c>
      <c r="E15" s="26">
        <v>45946.0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7"/>
      <c r="AO15" s="1"/>
    </row>
    <row r="16" ht="14.25" customHeight="1">
      <c r="A16" s="24" t="s">
        <v>19</v>
      </c>
      <c r="B16" s="24" t="s">
        <v>10</v>
      </c>
      <c r="C16" s="25">
        <v>1.0</v>
      </c>
      <c r="D16" s="26">
        <v>45930.0</v>
      </c>
      <c r="E16" s="26">
        <v>45945.0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7"/>
      <c r="AO16" s="1"/>
    </row>
    <row r="17" ht="14.25" customHeight="1">
      <c r="A17" s="24" t="s">
        <v>20</v>
      </c>
      <c r="B17" s="24" t="s">
        <v>12</v>
      </c>
      <c r="C17" s="25">
        <v>1.0</v>
      </c>
      <c r="D17" s="26">
        <v>45930.0</v>
      </c>
      <c r="E17" s="26">
        <v>45947.0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7"/>
      <c r="AO17" s="1"/>
    </row>
    <row r="18" ht="14.25" customHeight="1">
      <c r="A18" s="23" t="s">
        <v>21</v>
      </c>
      <c r="B18" s="24"/>
      <c r="C18" s="25"/>
      <c r="D18" s="26"/>
      <c r="E18" s="26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19"/>
      <c r="AO18" s="1"/>
    </row>
    <row r="19" ht="14.25" customHeight="1">
      <c r="A19" s="24" t="s">
        <v>22</v>
      </c>
      <c r="B19" s="24" t="s">
        <v>8</v>
      </c>
      <c r="C19" s="25">
        <v>1.0</v>
      </c>
      <c r="D19" s="26">
        <v>45930.0</v>
      </c>
      <c r="E19" s="26">
        <v>45947.0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7"/>
      <c r="AO19" s="1"/>
    </row>
    <row r="20" ht="14.25" customHeight="1">
      <c r="A20" s="24" t="s">
        <v>23</v>
      </c>
      <c r="B20" s="24" t="s">
        <v>14</v>
      </c>
      <c r="C20" s="25">
        <v>1.0</v>
      </c>
      <c r="D20" s="26">
        <v>45930.0</v>
      </c>
      <c r="E20" s="26">
        <v>45939.0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7"/>
      <c r="AO20" s="1"/>
    </row>
    <row r="21" ht="14.25" customHeight="1">
      <c r="A21" s="24" t="s">
        <v>24</v>
      </c>
      <c r="B21" s="24" t="s">
        <v>10</v>
      </c>
      <c r="C21" s="25">
        <v>1.0</v>
      </c>
      <c r="D21" s="26">
        <v>45930.0</v>
      </c>
      <c r="E21" s="26">
        <v>45935.0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7"/>
      <c r="AO21" s="1"/>
    </row>
    <row r="22" ht="14.25" customHeight="1">
      <c r="A22" s="24" t="s">
        <v>25</v>
      </c>
      <c r="B22" s="24" t="s">
        <v>12</v>
      </c>
      <c r="C22" s="25">
        <v>1.0</v>
      </c>
      <c r="D22" s="26">
        <v>45930.0</v>
      </c>
      <c r="E22" s="26">
        <v>45934.0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7"/>
      <c r="AO22" s="1"/>
    </row>
    <row r="23" ht="14.25" customHeight="1">
      <c r="A23" s="29"/>
      <c r="B23" s="29"/>
      <c r="C23" s="30"/>
      <c r="D23" s="31"/>
      <c r="E23" s="31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32"/>
      <c r="AO23" s="1"/>
    </row>
    <row r="24" ht="14.25" customHeight="1">
      <c r="A24" s="33"/>
      <c r="D24" s="34"/>
      <c r="E24" s="35"/>
      <c r="AN24" s="1"/>
    </row>
    <row r="25" ht="14.25" customHeight="1">
      <c r="A25" s="36" t="s">
        <v>6</v>
      </c>
      <c r="B25" s="37" t="s">
        <v>26</v>
      </c>
      <c r="D25" s="35"/>
      <c r="E25" s="35"/>
    </row>
    <row r="26" ht="14.25" customHeight="1">
      <c r="A26" s="38" t="s">
        <v>7</v>
      </c>
      <c r="B26" s="39" t="str">
        <f>HYPERLINK("https://docs.google.com/document/d/1SfObwPSfjVAwlpyIXOPeG8gmHfwh27uKPV4VENBtBxM/edit?usp=sharing", "Abrir")</f>
        <v>Abrir</v>
      </c>
    </row>
    <row r="27" ht="14.25" customHeight="1">
      <c r="A27" s="38" t="s">
        <v>9</v>
      </c>
      <c r="B27" s="39" t="str">
        <f t="shared" ref="B27:B28" si="3">HYPERLINK("https://docs.google.com/document/d/1trIHa_v8WPWOT3NTyg-kcsC2C-ug-amAs7e9WZ1nZaY/edit?usp=drive_link","Abrir")</f>
        <v>Abrir</v>
      </c>
    </row>
    <row r="28" ht="14.25" customHeight="1">
      <c r="A28" s="38" t="s">
        <v>11</v>
      </c>
      <c r="B28" s="39" t="str">
        <f t="shared" si="3"/>
        <v>Abrir</v>
      </c>
    </row>
    <row r="29" ht="14.25" customHeight="1">
      <c r="A29" s="38" t="s">
        <v>13</v>
      </c>
      <c r="B29" s="39" t="str">
        <f t="shared" ref="B29:B30" si="4">HYPERLINK("https://docs.google.com/document/d/1SfObwPSfjVAwlpyIXOPeG8gmHfwh27uKPV4VENBtBxM/edit?usp=drive_link","Abrir")</f>
        <v>Abrir</v>
      </c>
    </row>
    <row r="30" ht="14.25" customHeight="1">
      <c r="A30" s="38" t="s">
        <v>15</v>
      </c>
      <c r="B30" s="39" t="str">
        <f t="shared" si="4"/>
        <v>Abrir</v>
      </c>
    </row>
    <row r="31" ht="14.25" customHeight="1">
      <c r="A31" s="38" t="s">
        <v>16</v>
      </c>
      <c r="B31" s="40" t="s">
        <v>27</v>
      </c>
    </row>
    <row r="32" ht="14.25" customHeight="1">
      <c r="A32" s="38" t="s">
        <v>17</v>
      </c>
      <c r="B32" s="40" t="s">
        <v>27</v>
      </c>
      <c r="D32" s="41"/>
    </row>
    <row r="33" ht="14.25" customHeight="1">
      <c r="A33" s="38" t="s">
        <v>18</v>
      </c>
      <c r="B33" s="39" t="str">
        <f>HYPERLINK("https://docs.google.com/document/d/1l_aqKtCJPsdabZFM-x0XuH-Zho9497SBj7Mbm_PzuVo/edit?usp=drive_link","Abrir")</f>
        <v>Abrir</v>
      </c>
    </row>
    <row r="34" ht="14.25" customHeight="1">
      <c r="A34" s="38" t="s">
        <v>19</v>
      </c>
      <c r="B34" s="39" t="str">
        <f>HYPERLINK("https://docs.google.com/document/d/1tRtGj1mpXryeV61zUHXNDtCtZWrO7D2xm16uy9CMZ-4/edit?usp=drive_link","Abrir")</f>
        <v>Abrir</v>
      </c>
    </row>
    <row r="35" ht="14.25" customHeight="1">
      <c r="A35" s="38" t="s">
        <v>20</v>
      </c>
      <c r="B35" s="39" t="str">
        <f>HYPERLINK("https://docs.google.com/presentation/d/1fJAplKSJ7NqUyvCXxRwpEFxBiNjIPOKG/edit?usp=drive_link&amp;ouid=111566450765270646432&amp;rtpof=true&amp;sd=true","Abrir")</f>
        <v>Abrir</v>
      </c>
    </row>
    <row r="36" ht="14.25" customHeight="1">
      <c r="A36" s="36" t="s">
        <v>21</v>
      </c>
      <c r="B36" s="37"/>
    </row>
    <row r="37" ht="14.25" customHeight="1">
      <c r="A37" s="38" t="s">
        <v>22</v>
      </c>
      <c r="B37" s="39" t="str">
        <f>HYPERLINK("https://docs.google.com/document/d/1bJYhatuAPab0Ewmku8t6_SVMUR_JHSAt/edit?usp=drive_link&amp;ouid=111566450765270646432&amp;rtpof=true&amp;sd=true","Abrir")</f>
        <v>Abrir</v>
      </c>
    </row>
    <row r="38" ht="14.25" customHeight="1">
      <c r="A38" s="38" t="s">
        <v>23</v>
      </c>
      <c r="B38" s="39" t="str">
        <f>HYPERLINK("https://drive.google.com/file/d/1MTn7lr__xPnT93TTZHy8_TIP_59zffzJ/view?usp=drive_link","Abrir")</f>
        <v>Abrir</v>
      </c>
    </row>
    <row r="39" ht="14.25" customHeight="1">
      <c r="A39" s="38" t="s">
        <v>24</v>
      </c>
      <c r="B39" s="39" t="str">
        <f>HYPERLINK("https://drive.google.com/file/d/1nKw4LvfcDFEqvlNkR5govyIFOheuEbMK/view?usp=drive_link","Abrir")</f>
        <v>Abrir</v>
      </c>
    </row>
    <row r="40" ht="14.25" customHeight="1">
      <c r="A40" s="38" t="s">
        <v>25</v>
      </c>
      <c r="B40" s="39" t="str">
        <f>HYPERLINK("https://drive.google.com/file/d/1SaVtUASrkL8TgJY1wVSMPzNyszZgRYIb/view?usp=drive_link","Abrir")</f>
        <v>Abrir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G4:K4"/>
    <mergeCell ref="L4:R4"/>
    <mergeCell ref="S4:Y4"/>
    <mergeCell ref="Z4:AF4"/>
    <mergeCell ref="AG4:AM4"/>
    <mergeCell ref="D5:E5"/>
  </mergeCells>
  <conditionalFormatting sqref="G7:AM23">
    <cfRule type="expression" dxfId="0" priority="1">
      <formula>AND(G$5&gt;=$D7,G$5&lt;=((($E7-$D7+1)*$C7)+$D7-1))</formula>
    </cfRule>
  </conditionalFormatting>
  <conditionalFormatting sqref="G7:AM23">
    <cfRule type="expression" dxfId="1" priority="2">
      <formula>AND(G$5&gt;=$D7,G$5&lt;=$E7)</formula>
    </cfRule>
  </conditionalFormatting>
  <hyperlinks>
    <hyperlink r:id="rId1" ref="B31"/>
    <hyperlink r:id="rId2" ref="B32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5.75"/>
    <col customWidth="1" min="3" max="5" width="11.75"/>
    <col customWidth="1" min="6" max="74" width="3.75"/>
  </cols>
  <sheetData>
    <row r="1" ht="14.25" customHeight="1"/>
    <row r="2" ht="14.25" customHeight="1"/>
    <row r="3" ht="14.25" customHeight="1"/>
    <row r="4" ht="19.5" customHeight="1">
      <c r="D4" s="2">
        <v>0.0</v>
      </c>
      <c r="E4" s="3">
        <f>D5+D4</f>
        <v>45938</v>
      </c>
      <c r="F4" s="4"/>
      <c r="G4" s="5">
        <f>G5</f>
        <v>45938</v>
      </c>
      <c r="H4" s="6"/>
      <c r="I4" s="6"/>
      <c r="J4" s="6"/>
      <c r="K4" s="7"/>
      <c r="L4" s="5">
        <f>L5</f>
        <v>45943</v>
      </c>
      <c r="M4" s="6"/>
      <c r="N4" s="6"/>
      <c r="O4" s="6"/>
      <c r="P4" s="6"/>
      <c r="Q4" s="6"/>
      <c r="R4" s="7"/>
      <c r="S4" s="5">
        <f>S5</f>
        <v>45950</v>
      </c>
      <c r="T4" s="6"/>
      <c r="U4" s="6"/>
      <c r="V4" s="6"/>
      <c r="W4" s="6"/>
      <c r="X4" s="6"/>
      <c r="Y4" s="7"/>
      <c r="Z4" s="5">
        <f>Z5</f>
        <v>45957</v>
      </c>
      <c r="AA4" s="6"/>
      <c r="AB4" s="6"/>
      <c r="AC4" s="6"/>
      <c r="AD4" s="6"/>
      <c r="AE4" s="6"/>
      <c r="AF4" s="7"/>
      <c r="AG4" s="8">
        <f>AG5</f>
        <v>45964</v>
      </c>
      <c r="AH4" s="6"/>
      <c r="AI4" s="6"/>
      <c r="AJ4" s="6"/>
      <c r="AK4" s="6"/>
      <c r="AL4" s="6"/>
      <c r="AM4" s="7"/>
      <c r="AN4" s="8">
        <f>AN5</f>
        <v>45971</v>
      </c>
      <c r="AO4" s="6"/>
      <c r="AP4" s="6"/>
      <c r="AQ4" s="6"/>
      <c r="AR4" s="6"/>
      <c r="AS4" s="6"/>
      <c r="AT4" s="7"/>
      <c r="AU4" s="8">
        <f>AU5</f>
        <v>45978</v>
      </c>
      <c r="AV4" s="6"/>
      <c r="AW4" s="6"/>
      <c r="AX4" s="6"/>
      <c r="AY4" s="6"/>
      <c r="AZ4" s="6"/>
      <c r="BA4" s="7"/>
      <c r="BB4" s="8">
        <f>BB5</f>
        <v>45985</v>
      </c>
      <c r="BC4" s="6"/>
      <c r="BD4" s="6"/>
      <c r="BE4" s="6"/>
      <c r="BF4" s="6"/>
      <c r="BG4" s="6"/>
      <c r="BH4" s="7"/>
      <c r="BI4" s="8">
        <f>BI5</f>
        <v>45992</v>
      </c>
      <c r="BJ4" s="6"/>
      <c r="BK4" s="6"/>
      <c r="BL4" s="6"/>
      <c r="BM4" s="6"/>
      <c r="BN4" s="6"/>
      <c r="BO4" s="7"/>
      <c r="BP4" s="8">
        <f>BP5</f>
        <v>45999</v>
      </c>
      <c r="BQ4" s="6"/>
      <c r="BR4" s="6"/>
      <c r="BS4" s="6"/>
      <c r="BT4" s="6"/>
      <c r="BU4" s="6"/>
      <c r="BV4" s="7"/>
    </row>
    <row r="5" ht="14.25" customHeight="1">
      <c r="A5" s="1"/>
      <c r="B5" s="42"/>
      <c r="C5" s="43" t="s">
        <v>0</v>
      </c>
      <c r="D5" s="44">
        <f>DATE(2025,10,9)+$D$4-1</f>
        <v>45938</v>
      </c>
      <c r="E5" s="7"/>
      <c r="F5" s="15"/>
      <c r="G5" s="16">
        <f>D5</f>
        <v>45938</v>
      </c>
      <c r="H5" s="17">
        <f t="shared" ref="H5:BV5" si="1">G5+1</f>
        <v>45939</v>
      </c>
      <c r="I5" s="17">
        <f t="shared" si="1"/>
        <v>45940</v>
      </c>
      <c r="J5" s="17">
        <f t="shared" si="1"/>
        <v>45941</v>
      </c>
      <c r="K5" s="18">
        <f t="shared" si="1"/>
        <v>45942</v>
      </c>
      <c r="L5" s="16">
        <f t="shared" si="1"/>
        <v>45943</v>
      </c>
      <c r="M5" s="17">
        <f t="shared" si="1"/>
        <v>45944</v>
      </c>
      <c r="N5" s="17">
        <f t="shared" si="1"/>
        <v>45945</v>
      </c>
      <c r="O5" s="17">
        <f t="shared" si="1"/>
        <v>45946</v>
      </c>
      <c r="P5" s="17">
        <f t="shared" si="1"/>
        <v>45947</v>
      </c>
      <c r="Q5" s="17">
        <f t="shared" si="1"/>
        <v>45948</v>
      </c>
      <c r="R5" s="18">
        <f t="shared" si="1"/>
        <v>45949</v>
      </c>
      <c r="S5" s="16">
        <f t="shared" si="1"/>
        <v>45950</v>
      </c>
      <c r="T5" s="17">
        <f t="shared" si="1"/>
        <v>45951</v>
      </c>
      <c r="U5" s="17">
        <f t="shared" si="1"/>
        <v>45952</v>
      </c>
      <c r="V5" s="17">
        <f t="shared" si="1"/>
        <v>45953</v>
      </c>
      <c r="W5" s="17">
        <f t="shared" si="1"/>
        <v>45954</v>
      </c>
      <c r="X5" s="17">
        <f t="shared" si="1"/>
        <v>45955</v>
      </c>
      <c r="Y5" s="18">
        <f t="shared" si="1"/>
        <v>45956</v>
      </c>
      <c r="Z5" s="16">
        <f t="shared" si="1"/>
        <v>45957</v>
      </c>
      <c r="AA5" s="17">
        <f t="shared" si="1"/>
        <v>45958</v>
      </c>
      <c r="AB5" s="17">
        <f t="shared" si="1"/>
        <v>45959</v>
      </c>
      <c r="AC5" s="17">
        <f t="shared" si="1"/>
        <v>45960</v>
      </c>
      <c r="AD5" s="17">
        <f t="shared" si="1"/>
        <v>45961</v>
      </c>
      <c r="AE5" s="17">
        <f t="shared" si="1"/>
        <v>45962</v>
      </c>
      <c r="AF5" s="18">
        <f t="shared" si="1"/>
        <v>45963</v>
      </c>
      <c r="AG5" s="17">
        <f t="shared" si="1"/>
        <v>45964</v>
      </c>
      <c r="AH5" s="17">
        <f t="shared" si="1"/>
        <v>45965</v>
      </c>
      <c r="AI5" s="17">
        <f t="shared" si="1"/>
        <v>45966</v>
      </c>
      <c r="AJ5" s="17">
        <f t="shared" si="1"/>
        <v>45967</v>
      </c>
      <c r="AK5" s="17">
        <f t="shared" si="1"/>
        <v>45968</v>
      </c>
      <c r="AL5" s="17">
        <f t="shared" si="1"/>
        <v>45969</v>
      </c>
      <c r="AM5" s="18">
        <f t="shared" si="1"/>
        <v>45970</v>
      </c>
      <c r="AN5" s="18">
        <f t="shared" si="1"/>
        <v>45971</v>
      </c>
      <c r="AO5" s="18">
        <f t="shared" si="1"/>
        <v>45972</v>
      </c>
      <c r="AP5" s="18">
        <f t="shared" si="1"/>
        <v>45973</v>
      </c>
      <c r="AQ5" s="18">
        <f t="shared" si="1"/>
        <v>45974</v>
      </c>
      <c r="AR5" s="18">
        <f t="shared" si="1"/>
        <v>45975</v>
      </c>
      <c r="AS5" s="18">
        <f t="shared" si="1"/>
        <v>45976</v>
      </c>
      <c r="AT5" s="18">
        <f t="shared" si="1"/>
        <v>45977</v>
      </c>
      <c r="AU5" s="18">
        <f t="shared" si="1"/>
        <v>45978</v>
      </c>
      <c r="AV5" s="18">
        <f t="shared" si="1"/>
        <v>45979</v>
      </c>
      <c r="AW5" s="18">
        <f t="shared" si="1"/>
        <v>45980</v>
      </c>
      <c r="AX5" s="18">
        <f t="shared" si="1"/>
        <v>45981</v>
      </c>
      <c r="AY5" s="18">
        <f t="shared" si="1"/>
        <v>45982</v>
      </c>
      <c r="AZ5" s="18">
        <f t="shared" si="1"/>
        <v>45983</v>
      </c>
      <c r="BA5" s="18">
        <f t="shared" si="1"/>
        <v>45984</v>
      </c>
      <c r="BB5" s="18">
        <f t="shared" si="1"/>
        <v>45985</v>
      </c>
      <c r="BC5" s="18">
        <f t="shared" si="1"/>
        <v>45986</v>
      </c>
      <c r="BD5" s="18">
        <f t="shared" si="1"/>
        <v>45987</v>
      </c>
      <c r="BE5" s="18">
        <f t="shared" si="1"/>
        <v>45988</v>
      </c>
      <c r="BF5" s="18">
        <f t="shared" si="1"/>
        <v>45989</v>
      </c>
      <c r="BG5" s="18">
        <f t="shared" si="1"/>
        <v>45990</v>
      </c>
      <c r="BH5" s="18">
        <f t="shared" si="1"/>
        <v>45991</v>
      </c>
      <c r="BI5" s="18">
        <f t="shared" si="1"/>
        <v>45992</v>
      </c>
      <c r="BJ5" s="18">
        <f t="shared" si="1"/>
        <v>45993</v>
      </c>
      <c r="BK5" s="18">
        <f t="shared" si="1"/>
        <v>45994</v>
      </c>
      <c r="BL5" s="18">
        <f t="shared" si="1"/>
        <v>45995</v>
      </c>
      <c r="BM5" s="18">
        <f t="shared" si="1"/>
        <v>45996</v>
      </c>
      <c r="BN5" s="18">
        <f t="shared" si="1"/>
        <v>45997</v>
      </c>
      <c r="BO5" s="18">
        <f t="shared" si="1"/>
        <v>45998</v>
      </c>
      <c r="BP5" s="18">
        <f t="shared" si="1"/>
        <v>45999</v>
      </c>
      <c r="BQ5" s="18">
        <f t="shared" si="1"/>
        <v>46000</v>
      </c>
      <c r="BR5" s="18">
        <f t="shared" si="1"/>
        <v>46001</v>
      </c>
      <c r="BS5" s="18">
        <f t="shared" si="1"/>
        <v>46002</v>
      </c>
      <c r="BT5" s="18">
        <f t="shared" si="1"/>
        <v>46003</v>
      </c>
      <c r="BU5" s="18">
        <f t="shared" si="1"/>
        <v>46004</v>
      </c>
      <c r="BV5" s="18">
        <f t="shared" si="1"/>
        <v>46005</v>
      </c>
    </row>
    <row r="6" ht="19.5" customHeight="1">
      <c r="A6" s="45" t="s">
        <v>1</v>
      </c>
      <c r="B6" s="45" t="s">
        <v>2</v>
      </c>
      <c r="C6" s="45" t="s">
        <v>3</v>
      </c>
      <c r="D6" s="45" t="s">
        <v>4</v>
      </c>
      <c r="E6" s="45" t="s">
        <v>5</v>
      </c>
      <c r="F6" s="46"/>
      <c r="G6" s="47" t="str">
        <f t="shared" ref="G6:BV6" si="2">UPPER(LEFT(TEXT(G5,"ddd"),1))</f>
        <v>M</v>
      </c>
      <c r="H6" s="47" t="str">
        <f t="shared" si="2"/>
        <v>J</v>
      </c>
      <c r="I6" s="47" t="str">
        <f t="shared" si="2"/>
        <v>V</v>
      </c>
      <c r="J6" s="47" t="str">
        <f t="shared" si="2"/>
        <v>S</v>
      </c>
      <c r="K6" s="47" t="str">
        <f t="shared" si="2"/>
        <v>D</v>
      </c>
      <c r="L6" s="47" t="str">
        <f t="shared" si="2"/>
        <v>L</v>
      </c>
      <c r="M6" s="47" t="str">
        <f t="shared" si="2"/>
        <v>M</v>
      </c>
      <c r="N6" s="47" t="str">
        <f t="shared" si="2"/>
        <v>M</v>
      </c>
      <c r="O6" s="47" t="str">
        <f t="shared" si="2"/>
        <v>J</v>
      </c>
      <c r="P6" s="47" t="str">
        <f t="shared" si="2"/>
        <v>V</v>
      </c>
      <c r="Q6" s="47" t="str">
        <f t="shared" si="2"/>
        <v>S</v>
      </c>
      <c r="R6" s="47" t="str">
        <f t="shared" si="2"/>
        <v>D</v>
      </c>
      <c r="S6" s="47" t="str">
        <f t="shared" si="2"/>
        <v>L</v>
      </c>
      <c r="T6" s="47" t="str">
        <f t="shared" si="2"/>
        <v>M</v>
      </c>
      <c r="U6" s="47" t="str">
        <f t="shared" si="2"/>
        <v>M</v>
      </c>
      <c r="V6" s="47" t="str">
        <f t="shared" si="2"/>
        <v>J</v>
      </c>
      <c r="W6" s="47" t="str">
        <f t="shared" si="2"/>
        <v>V</v>
      </c>
      <c r="X6" s="47" t="str">
        <f t="shared" si="2"/>
        <v>S</v>
      </c>
      <c r="Y6" s="47" t="str">
        <f t="shared" si="2"/>
        <v>D</v>
      </c>
      <c r="Z6" s="47" t="str">
        <f t="shared" si="2"/>
        <v>L</v>
      </c>
      <c r="AA6" s="47" t="str">
        <f t="shared" si="2"/>
        <v>M</v>
      </c>
      <c r="AB6" s="47" t="str">
        <f t="shared" si="2"/>
        <v>M</v>
      </c>
      <c r="AC6" s="47" t="str">
        <f t="shared" si="2"/>
        <v>J</v>
      </c>
      <c r="AD6" s="47" t="str">
        <f t="shared" si="2"/>
        <v>V</v>
      </c>
      <c r="AE6" s="47" t="str">
        <f t="shared" si="2"/>
        <v>S</v>
      </c>
      <c r="AF6" s="47" t="str">
        <f t="shared" si="2"/>
        <v>D</v>
      </c>
      <c r="AG6" s="47" t="str">
        <f t="shared" si="2"/>
        <v>L</v>
      </c>
      <c r="AH6" s="47" t="str">
        <f t="shared" si="2"/>
        <v>M</v>
      </c>
      <c r="AI6" s="47" t="str">
        <f t="shared" si="2"/>
        <v>M</v>
      </c>
      <c r="AJ6" s="47" t="str">
        <f t="shared" si="2"/>
        <v>J</v>
      </c>
      <c r="AK6" s="47" t="str">
        <f t="shared" si="2"/>
        <v>V</v>
      </c>
      <c r="AL6" s="47" t="str">
        <f t="shared" si="2"/>
        <v>S</v>
      </c>
      <c r="AM6" s="47" t="str">
        <f t="shared" si="2"/>
        <v>D</v>
      </c>
      <c r="AN6" s="47" t="str">
        <f t="shared" si="2"/>
        <v>L</v>
      </c>
      <c r="AO6" s="47" t="str">
        <f t="shared" si="2"/>
        <v>M</v>
      </c>
      <c r="AP6" s="47" t="str">
        <f t="shared" si="2"/>
        <v>M</v>
      </c>
      <c r="AQ6" s="47" t="str">
        <f t="shared" si="2"/>
        <v>J</v>
      </c>
      <c r="AR6" s="47" t="str">
        <f t="shared" si="2"/>
        <v>V</v>
      </c>
      <c r="AS6" s="47" t="str">
        <f t="shared" si="2"/>
        <v>S</v>
      </c>
      <c r="AT6" s="47" t="str">
        <f t="shared" si="2"/>
        <v>D</v>
      </c>
      <c r="AU6" s="47" t="str">
        <f t="shared" si="2"/>
        <v>L</v>
      </c>
      <c r="AV6" s="47" t="str">
        <f t="shared" si="2"/>
        <v>M</v>
      </c>
      <c r="AW6" s="47" t="str">
        <f t="shared" si="2"/>
        <v>M</v>
      </c>
      <c r="AX6" s="47" t="str">
        <f t="shared" si="2"/>
        <v>J</v>
      </c>
      <c r="AY6" s="47" t="str">
        <f t="shared" si="2"/>
        <v>V</v>
      </c>
      <c r="AZ6" s="47" t="str">
        <f t="shared" si="2"/>
        <v>S</v>
      </c>
      <c r="BA6" s="47" t="str">
        <f t="shared" si="2"/>
        <v>D</v>
      </c>
      <c r="BB6" s="47" t="str">
        <f t="shared" si="2"/>
        <v>L</v>
      </c>
      <c r="BC6" s="47" t="str">
        <f t="shared" si="2"/>
        <v>M</v>
      </c>
      <c r="BD6" s="47" t="str">
        <f t="shared" si="2"/>
        <v>M</v>
      </c>
      <c r="BE6" s="47" t="str">
        <f t="shared" si="2"/>
        <v>J</v>
      </c>
      <c r="BF6" s="47" t="str">
        <f t="shared" si="2"/>
        <v>V</v>
      </c>
      <c r="BG6" s="47" t="str">
        <f t="shared" si="2"/>
        <v>S</v>
      </c>
      <c r="BH6" s="47" t="str">
        <f t="shared" si="2"/>
        <v>D</v>
      </c>
      <c r="BI6" s="47" t="str">
        <f t="shared" si="2"/>
        <v>L</v>
      </c>
      <c r="BJ6" s="47" t="str">
        <f t="shared" si="2"/>
        <v>M</v>
      </c>
      <c r="BK6" s="47" t="str">
        <f t="shared" si="2"/>
        <v>M</v>
      </c>
      <c r="BL6" s="47" t="str">
        <f t="shared" si="2"/>
        <v>J</v>
      </c>
      <c r="BM6" s="47" t="str">
        <f t="shared" si="2"/>
        <v>V</v>
      </c>
      <c r="BN6" s="47" t="str">
        <f t="shared" si="2"/>
        <v>S</v>
      </c>
      <c r="BO6" s="47" t="str">
        <f t="shared" si="2"/>
        <v>D</v>
      </c>
      <c r="BP6" s="47" t="str">
        <f t="shared" si="2"/>
        <v>L</v>
      </c>
      <c r="BQ6" s="47" t="str">
        <f t="shared" si="2"/>
        <v>M</v>
      </c>
      <c r="BR6" s="47" t="str">
        <f t="shared" si="2"/>
        <v>M</v>
      </c>
      <c r="BS6" s="47" t="str">
        <f t="shared" si="2"/>
        <v>J</v>
      </c>
      <c r="BT6" s="47" t="str">
        <f t="shared" si="2"/>
        <v>V</v>
      </c>
      <c r="BU6" s="47" t="str">
        <f t="shared" si="2"/>
        <v>S</v>
      </c>
      <c r="BV6" s="47" t="str">
        <f t="shared" si="2"/>
        <v>D</v>
      </c>
      <c r="BW6" s="1"/>
    </row>
    <row r="7" ht="14.25" customHeight="1">
      <c r="A7" s="48" t="s">
        <v>28</v>
      </c>
      <c r="B7" s="49"/>
      <c r="C7" s="50"/>
      <c r="D7" s="51"/>
      <c r="E7" s="51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1"/>
    </row>
    <row r="8" ht="14.25" customHeight="1">
      <c r="A8" s="1" t="s">
        <v>29</v>
      </c>
      <c r="B8" s="1" t="s">
        <v>30</v>
      </c>
      <c r="C8" s="52">
        <v>1.0</v>
      </c>
      <c r="D8" s="53">
        <v>45947.0</v>
      </c>
      <c r="E8" s="53">
        <v>46003.0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</row>
    <row r="9" ht="14.25" customHeight="1">
      <c r="A9" s="1" t="s">
        <v>31</v>
      </c>
      <c r="B9" s="1" t="s">
        <v>10</v>
      </c>
      <c r="C9" s="52">
        <v>0.9</v>
      </c>
      <c r="D9" s="53">
        <v>45952.0</v>
      </c>
      <c r="E9" s="53">
        <v>46003.0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</row>
    <row r="10" ht="14.25" customHeight="1">
      <c r="A10" s="1" t="s">
        <v>32</v>
      </c>
      <c r="B10" s="1" t="s">
        <v>30</v>
      </c>
      <c r="C10" s="52">
        <v>0.0</v>
      </c>
      <c r="D10" s="53">
        <v>45954.0</v>
      </c>
      <c r="E10" s="53">
        <v>46003.0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ht="14.25" customHeight="1">
      <c r="A11" s="1" t="s">
        <v>33</v>
      </c>
      <c r="B11" s="1" t="s">
        <v>8</v>
      </c>
      <c r="C11" s="52">
        <v>1.0</v>
      </c>
      <c r="D11" s="53">
        <v>45954.0</v>
      </c>
      <c r="E11" s="53">
        <v>46003.0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ht="14.25" customHeight="1">
      <c r="A12" s="1" t="s">
        <v>34</v>
      </c>
      <c r="B12" s="1" t="s">
        <v>8</v>
      </c>
      <c r="C12" s="52">
        <v>1.0</v>
      </c>
      <c r="D12" s="53">
        <v>45957.0</v>
      </c>
      <c r="E12" s="53">
        <v>46003.0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</row>
    <row r="13" ht="14.25" customHeight="1">
      <c r="A13" s="1" t="s">
        <v>35</v>
      </c>
      <c r="B13" s="1" t="s">
        <v>14</v>
      </c>
      <c r="C13" s="52">
        <v>1.0</v>
      </c>
      <c r="D13" s="53">
        <v>45959.0</v>
      </c>
      <c r="E13" s="53">
        <v>46003.0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ht="14.25" customHeight="1">
      <c r="A14" s="1" t="s">
        <v>36</v>
      </c>
      <c r="B14" s="1" t="s">
        <v>14</v>
      </c>
      <c r="C14" s="52">
        <v>1.0</v>
      </c>
      <c r="D14" s="53">
        <v>45965.0</v>
      </c>
      <c r="E14" s="53">
        <v>46003.0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ht="14.25" customHeight="1">
      <c r="A15" s="1" t="s">
        <v>37</v>
      </c>
      <c r="B15" s="1" t="s">
        <v>10</v>
      </c>
      <c r="C15" s="52">
        <v>1.0</v>
      </c>
      <c r="D15" s="53">
        <v>45968.0</v>
      </c>
      <c r="E15" s="53">
        <v>46003.0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ht="14.25" customHeight="1">
      <c r="A16" s="1" t="s">
        <v>38</v>
      </c>
      <c r="B16" s="1" t="s">
        <v>12</v>
      </c>
      <c r="C16" s="52">
        <v>0.8</v>
      </c>
      <c r="D16" s="53">
        <v>45971.0</v>
      </c>
      <c r="E16" s="53">
        <v>46003.0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ht="14.25" customHeight="1">
      <c r="A17" s="1" t="s">
        <v>39</v>
      </c>
      <c r="B17" s="1" t="s">
        <v>10</v>
      </c>
      <c r="C17" s="52">
        <v>1.0</v>
      </c>
      <c r="D17" s="53">
        <v>45981.0</v>
      </c>
      <c r="E17" s="53">
        <v>46003.0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ht="14.25" customHeight="1">
      <c r="A18" s="1" t="s">
        <v>40</v>
      </c>
      <c r="B18" s="1" t="s">
        <v>12</v>
      </c>
      <c r="C18" s="52">
        <v>1.0</v>
      </c>
      <c r="D18" s="53">
        <v>45948.0</v>
      </c>
      <c r="E18" s="53">
        <v>46003.0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ht="15.75" customHeight="1">
      <c r="A19" s="1" t="s">
        <v>41</v>
      </c>
      <c r="B19" s="1" t="s">
        <v>12</v>
      </c>
      <c r="C19" s="52">
        <v>1.0</v>
      </c>
      <c r="D19" s="53">
        <v>45949.0</v>
      </c>
      <c r="E19" s="53">
        <v>46003.0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ht="14.25" customHeight="1">
      <c r="A20" s="1" t="s">
        <v>42</v>
      </c>
      <c r="B20" s="1" t="s">
        <v>30</v>
      </c>
      <c r="C20" s="52">
        <v>0.75</v>
      </c>
      <c r="D20" s="53">
        <v>45950.0</v>
      </c>
      <c r="E20" s="53">
        <v>46003.0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ht="14.25" customHeight="1">
      <c r="A21" s="54" t="s">
        <v>43</v>
      </c>
      <c r="B21" s="54" t="s">
        <v>10</v>
      </c>
      <c r="C21" s="55">
        <v>0.95</v>
      </c>
      <c r="D21" s="56">
        <v>45947.0</v>
      </c>
      <c r="E21" s="56">
        <v>46003.0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1"/>
    </row>
    <row r="22" ht="14.25" customHeight="1">
      <c r="A22" s="1"/>
      <c r="B22" s="1"/>
      <c r="C22" s="52"/>
      <c r="D22" s="53"/>
      <c r="E22" s="5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ht="14.25" customHeight="1">
      <c r="A23" s="1"/>
      <c r="B23" s="1"/>
      <c r="C23" s="52"/>
      <c r="D23" s="53"/>
      <c r="E23" s="5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4.25" customHeight="1">
      <c r="A24" s="57" t="s">
        <v>44</v>
      </c>
      <c r="B24" s="58" t="s">
        <v>45</v>
      </c>
      <c r="C24" s="1"/>
      <c r="D24" s="34"/>
      <c r="E24" s="35"/>
    </row>
    <row r="25" ht="14.25" customHeight="1">
      <c r="A25" s="38" t="s">
        <v>29</v>
      </c>
      <c r="B25" s="39" t="s">
        <v>27</v>
      </c>
      <c r="C25" s="1"/>
      <c r="D25" s="35"/>
      <c r="E25" s="35"/>
    </row>
    <row r="26" ht="14.25" customHeight="1">
      <c r="A26" s="38" t="s">
        <v>31</v>
      </c>
      <c r="B26" s="39" t="s">
        <v>27</v>
      </c>
      <c r="C26" s="1"/>
    </row>
    <row r="27" ht="14.25" customHeight="1">
      <c r="A27" s="38" t="s">
        <v>32</v>
      </c>
      <c r="B27" s="39" t="s">
        <v>27</v>
      </c>
      <c r="C27" s="1"/>
    </row>
    <row r="28" ht="14.25" customHeight="1">
      <c r="A28" s="38" t="s">
        <v>33</v>
      </c>
      <c r="B28" s="39" t="s">
        <v>27</v>
      </c>
      <c r="C28" s="1"/>
    </row>
    <row r="29" ht="14.25" customHeight="1">
      <c r="A29" s="38" t="s">
        <v>34</v>
      </c>
      <c r="B29" s="39" t="s">
        <v>27</v>
      </c>
      <c r="C29" s="1"/>
    </row>
    <row r="30" ht="14.25" customHeight="1">
      <c r="A30" s="38" t="s">
        <v>35</v>
      </c>
      <c r="B30" s="39" t="s">
        <v>27</v>
      </c>
      <c r="C30" s="1"/>
    </row>
    <row r="31" ht="14.25" customHeight="1">
      <c r="A31" s="38" t="s">
        <v>36</v>
      </c>
      <c r="B31" s="39" t="s">
        <v>27</v>
      </c>
      <c r="C31" s="1"/>
    </row>
    <row r="32" ht="14.25" customHeight="1">
      <c r="A32" s="38" t="s">
        <v>37</v>
      </c>
      <c r="B32" s="39" t="s">
        <v>27</v>
      </c>
      <c r="C32" s="1"/>
      <c r="D32" s="41"/>
    </row>
    <row r="33" ht="14.25" customHeight="1">
      <c r="A33" s="38" t="s">
        <v>38</v>
      </c>
      <c r="B33" s="39" t="s">
        <v>27</v>
      </c>
      <c r="C33" s="1"/>
    </row>
    <row r="34" ht="14.25" customHeight="1">
      <c r="A34" s="38" t="s">
        <v>39</v>
      </c>
      <c r="B34" s="39" t="s">
        <v>27</v>
      </c>
      <c r="C34" s="1"/>
    </row>
    <row r="35" ht="14.25" customHeight="1">
      <c r="A35" s="38" t="s">
        <v>40</v>
      </c>
      <c r="B35" s="39" t="s">
        <v>27</v>
      </c>
      <c r="C35" s="1"/>
    </row>
    <row r="36" ht="17.25" customHeight="1">
      <c r="A36" s="38" t="s">
        <v>41</v>
      </c>
      <c r="B36" s="39" t="s">
        <v>27</v>
      </c>
      <c r="C36" s="1"/>
    </row>
    <row r="37" ht="14.25" customHeight="1">
      <c r="A37" s="38" t="s">
        <v>42</v>
      </c>
      <c r="B37" s="39" t="s">
        <v>27</v>
      </c>
      <c r="C37" s="1"/>
    </row>
    <row r="38" ht="14.25" customHeight="1">
      <c r="A38" s="38" t="s">
        <v>43</v>
      </c>
      <c r="B38" s="39" t="s">
        <v>27</v>
      </c>
      <c r="C38" s="1"/>
    </row>
    <row r="39" ht="14.25" customHeight="1">
      <c r="A39" s="1"/>
      <c r="B39" s="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B4:BH4"/>
    <mergeCell ref="BI4:BO4"/>
    <mergeCell ref="BP4:BV4"/>
    <mergeCell ref="G4:K4"/>
    <mergeCell ref="L4:R4"/>
    <mergeCell ref="S4:Y4"/>
    <mergeCell ref="Z4:AF4"/>
    <mergeCell ref="AG4:AM4"/>
    <mergeCell ref="AN4:AT4"/>
    <mergeCell ref="AU4:BA4"/>
    <mergeCell ref="D5:E5"/>
  </mergeCells>
  <conditionalFormatting sqref="G7:AM23 AN7:BV22">
    <cfRule type="expression" dxfId="0" priority="1">
      <formula>AND(G$5&gt;=$D7,G$5&lt;=((($E7-$D7+1)*$C7)+$D7-1))</formula>
    </cfRule>
  </conditionalFormatting>
  <conditionalFormatting sqref="G7:AM23 AN7:BV22">
    <cfRule type="expression" dxfId="1" priority="2">
      <formula>AND(G$5&gt;=$D7,G$5&lt;=$E7)</formula>
    </cfRule>
  </conditionalFormatting>
  <hyperlinks>
    <hyperlink r:id="rId1" ref="B25"/>
    <hyperlink r:id="rId2" ref="B26"/>
    <hyperlink r:id="rId3" ref="B27"/>
    <hyperlink r:id="rId4" ref="B28"/>
    <hyperlink r:id="rId5" ref="B29"/>
    <hyperlink r:id="rId6" ref="B30"/>
    <hyperlink r:id="rId7" ref="B31"/>
    <hyperlink r:id="rId8" ref="B32"/>
    <hyperlink r:id="rId9" ref="B33"/>
    <hyperlink r:id="rId10" ref="B34"/>
    <hyperlink r:id="rId11" ref="B35"/>
    <hyperlink r:id="rId12" ref="B36"/>
    <hyperlink r:id="rId13" ref="B37"/>
    <hyperlink r:id="rId14" ref="B38"/>
  </hyperlinks>
  <printOptions/>
  <pageMargins bottom="0.75" footer="0.0" header="0.0" left="0.7" right="0.7" top="0.75"/>
  <pageSetup paperSize="9" orientation="portrait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2025-11-12T21:35:49Z</dcterms:created>
  <dc:creator>santiago cardenas</dc:creator>
</cp:coreProperties>
</file>